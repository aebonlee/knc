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2 계약\250331 KB금융지주_팬임팩트코리아\"/>
    </mc:Choice>
  </mc:AlternateContent>
  <xr:revisionPtr revIDLastSave="0" documentId="14_{B46E6FDE-4B77-4E0C-81CA-F03CC2F9F743}" xr6:coauthVersionLast="47" xr6:coauthVersionMax="47" xr10:uidLastSave="{00000000-0000-0000-0000-000000000000}"/>
  <bookViews>
    <workbookView xWindow="28680" yWindow="-120" windowWidth="29040" windowHeight="16440" tabRatio="638" activeTab="4" xr2:uid="{00000000-000D-0000-FFFF-FFFF00000000}"/>
  </bookViews>
  <sheets>
    <sheet name="사용안내" sheetId="1" r:id="rId1"/>
    <sheet name="공급+수요기업" sheetId="54" r:id="rId2"/>
    <sheet name="전체통합집계" sheetId="2" r:id="rId3"/>
    <sheet name="기준데이터" sheetId="3" r:id="rId4"/>
    <sheet name="기업01" sheetId="4" r:id="rId5"/>
    <sheet name="기업02" sheetId="5" r:id="rId6"/>
    <sheet name="기업03" sheetId="6" r:id="rId7"/>
    <sheet name="기업04" sheetId="7" r:id="rId8"/>
    <sheet name="기업05" sheetId="8" r:id="rId9"/>
    <sheet name="기업06" sheetId="9" r:id="rId10"/>
    <sheet name="기업07" sheetId="10" r:id="rId11"/>
    <sheet name="기업08" sheetId="11" r:id="rId12"/>
    <sheet name="기업09" sheetId="12" r:id="rId13"/>
    <sheet name="기업10" sheetId="13" r:id="rId14"/>
    <sheet name="기업11" sheetId="14" r:id="rId15"/>
    <sheet name="기업12" sheetId="15" r:id="rId16"/>
    <sheet name="기업13" sheetId="16" r:id="rId17"/>
    <sheet name="기업14" sheetId="17" r:id="rId18"/>
    <sheet name="기업15" sheetId="18" r:id="rId19"/>
    <sheet name="기업16" sheetId="19" r:id="rId20"/>
    <sheet name="기업17" sheetId="20" r:id="rId21"/>
    <sheet name="기업18" sheetId="21" r:id="rId22"/>
    <sheet name="기업19" sheetId="22" r:id="rId23"/>
    <sheet name="기업20" sheetId="23" r:id="rId24"/>
    <sheet name="기업21" sheetId="24" r:id="rId25"/>
    <sheet name="기업22" sheetId="25" r:id="rId26"/>
    <sheet name="기업23" sheetId="26" r:id="rId27"/>
    <sheet name="기업24" sheetId="27" r:id="rId28"/>
    <sheet name="기업25" sheetId="28" r:id="rId29"/>
    <sheet name="기업26" sheetId="29" r:id="rId30"/>
    <sheet name="기업27" sheetId="30" r:id="rId31"/>
    <sheet name="기업28" sheetId="31" r:id="rId32"/>
    <sheet name="기업29" sheetId="32" r:id="rId33"/>
    <sheet name="기업30" sheetId="33" r:id="rId34"/>
    <sheet name="기업31" sheetId="34" r:id="rId35"/>
    <sheet name="기업32" sheetId="35" r:id="rId36"/>
    <sheet name="기업33" sheetId="36" r:id="rId37"/>
    <sheet name="기업34" sheetId="37" r:id="rId38"/>
    <sheet name="기업35" sheetId="38" r:id="rId39"/>
    <sheet name="기업36" sheetId="39" r:id="rId40"/>
    <sheet name="기업37" sheetId="40" r:id="rId41"/>
    <sheet name="기업38" sheetId="41" r:id="rId42"/>
    <sheet name="기업39" sheetId="42" r:id="rId43"/>
    <sheet name="기업40" sheetId="43" r:id="rId44"/>
    <sheet name="기업41" sheetId="44" r:id="rId45"/>
    <sheet name="기업42" sheetId="45" r:id="rId46"/>
    <sheet name="기업43" sheetId="46" r:id="rId47"/>
    <sheet name="기업44" sheetId="47" r:id="rId48"/>
    <sheet name="기업45" sheetId="48" r:id="rId49"/>
    <sheet name="기업46" sheetId="49" r:id="rId50"/>
    <sheet name="기업47" sheetId="50" r:id="rId51"/>
    <sheet name="기업48" sheetId="51" r:id="rId52"/>
    <sheet name="기업49" sheetId="52" r:id="rId53"/>
    <sheet name="기업50" sheetId="53" r:id="rId5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" i="2" l="1"/>
  <c r="L15" i="53"/>
  <c r="L48" i="53"/>
  <c r="L47" i="53"/>
  <c r="L46" i="53"/>
  <c r="L45" i="53"/>
  <c r="L44" i="53"/>
  <c r="L43" i="53"/>
  <c r="L42" i="53"/>
  <c r="L41" i="53"/>
  <c r="L40" i="53"/>
  <c r="BA38" i="2" s="1"/>
  <c r="L39" i="53"/>
  <c r="L38" i="53"/>
  <c r="L37" i="53"/>
  <c r="BA35" i="2" s="1"/>
  <c r="L36" i="53"/>
  <c r="L35" i="53"/>
  <c r="BA33" i="2" s="1"/>
  <c r="L34" i="53"/>
  <c r="L33" i="53"/>
  <c r="L32" i="53"/>
  <c r="L31" i="53"/>
  <c r="L30" i="53"/>
  <c r="BA28" i="2" s="1"/>
  <c r="L29" i="53"/>
  <c r="L28" i="53"/>
  <c r="BA26" i="2" s="1"/>
  <c r="L27" i="53"/>
  <c r="L26" i="53"/>
  <c r="BA24" i="2" s="1"/>
  <c r="L25" i="53"/>
  <c r="L24" i="53"/>
  <c r="BA22" i="2" s="1"/>
  <c r="L23" i="53"/>
  <c r="L22" i="53"/>
  <c r="L21" i="53"/>
  <c r="L20" i="53"/>
  <c r="L19" i="53"/>
  <c r="L18" i="53"/>
  <c r="L17" i="53"/>
  <c r="L16" i="53"/>
  <c r="L14" i="53"/>
  <c r="BA12" i="2" s="1"/>
  <c r="L13" i="53"/>
  <c r="BA11" i="2" s="1"/>
  <c r="L12" i="53"/>
  <c r="L11" i="53"/>
  <c r="L10" i="53"/>
  <c r="BA8" i="2" s="1"/>
  <c r="L48" i="52"/>
  <c r="L47" i="52"/>
  <c r="L46" i="52"/>
  <c r="L45" i="52"/>
  <c r="L44" i="52"/>
  <c r="L43" i="52"/>
  <c r="L42" i="52"/>
  <c r="L41" i="52"/>
  <c r="AZ39" i="2" s="1"/>
  <c r="L40" i="52"/>
  <c r="L39" i="52"/>
  <c r="AZ37" i="2" s="1"/>
  <c r="L38" i="52"/>
  <c r="L37" i="52"/>
  <c r="L36" i="52"/>
  <c r="L35" i="52"/>
  <c r="L34" i="52"/>
  <c r="L33" i="52"/>
  <c r="AZ31" i="2" s="1"/>
  <c r="L32" i="52"/>
  <c r="L31" i="52"/>
  <c r="L30" i="52"/>
  <c r="L29" i="52"/>
  <c r="L28" i="52"/>
  <c r="L27" i="52"/>
  <c r="L26" i="52"/>
  <c r="L25" i="52"/>
  <c r="L24" i="52"/>
  <c r="AZ22" i="2" s="1"/>
  <c r="L23" i="52"/>
  <c r="L22" i="52"/>
  <c r="L21" i="52"/>
  <c r="L20" i="52"/>
  <c r="L19" i="52"/>
  <c r="L18" i="52"/>
  <c r="L17" i="52"/>
  <c r="L16" i="52"/>
  <c r="L15" i="52"/>
  <c r="AZ13" i="2" s="1"/>
  <c r="L14" i="52"/>
  <c r="AZ12" i="2" s="1"/>
  <c r="L13" i="52"/>
  <c r="L12" i="52"/>
  <c r="L11" i="52"/>
  <c r="L10" i="52"/>
  <c r="AZ8" i="2" s="1"/>
  <c r="L48" i="51"/>
  <c r="L47" i="51"/>
  <c r="L46" i="51"/>
  <c r="L45" i="51"/>
  <c r="L44" i="51"/>
  <c r="L43" i="51"/>
  <c r="L42" i="51"/>
  <c r="L41" i="51"/>
  <c r="L40" i="51"/>
  <c r="L39" i="51"/>
  <c r="L38" i="51"/>
  <c r="AY36" i="2" s="1"/>
  <c r="L37" i="51"/>
  <c r="L36" i="51"/>
  <c r="L35" i="51"/>
  <c r="AY33" i="2" s="1"/>
  <c r="L34" i="51"/>
  <c r="L33" i="51"/>
  <c r="L32" i="51"/>
  <c r="L31" i="51"/>
  <c r="L30" i="51"/>
  <c r="L29" i="51"/>
  <c r="L28" i="51"/>
  <c r="L27" i="51"/>
  <c r="L26" i="51"/>
  <c r="AY24" i="2" s="1"/>
  <c r="L25" i="51"/>
  <c r="L24" i="51"/>
  <c r="AY22" i="2" s="1"/>
  <c r="L23" i="51"/>
  <c r="L22" i="51"/>
  <c r="L21" i="51"/>
  <c r="AY19" i="2" s="1"/>
  <c r="L20" i="51"/>
  <c r="L19" i="51"/>
  <c r="L18" i="51"/>
  <c r="L17" i="51"/>
  <c r="L16" i="51"/>
  <c r="L15" i="51"/>
  <c r="AY13" i="2" s="1"/>
  <c r="L14" i="51"/>
  <c r="AY12" i="2" s="1"/>
  <c r="L13" i="51"/>
  <c r="L12" i="51"/>
  <c r="AY10" i="2" s="1"/>
  <c r="L11" i="51"/>
  <c r="AY9" i="2" s="1"/>
  <c r="L10" i="51"/>
  <c r="AY8" i="2" s="1"/>
  <c r="L48" i="50"/>
  <c r="L47" i="50"/>
  <c r="L46" i="50"/>
  <c r="L45" i="50"/>
  <c r="L44" i="50"/>
  <c r="L43" i="50"/>
  <c r="L42" i="50"/>
  <c r="L41" i="50"/>
  <c r="AX39" i="2" s="1"/>
  <c r="L40" i="50"/>
  <c r="L39" i="50"/>
  <c r="AX37" i="2" s="1"/>
  <c r="L38" i="50"/>
  <c r="AX36" i="2" s="1"/>
  <c r="L37" i="50"/>
  <c r="L36" i="50"/>
  <c r="L35" i="50"/>
  <c r="L34" i="50"/>
  <c r="L33" i="50"/>
  <c r="L32" i="50"/>
  <c r="L31" i="50"/>
  <c r="L30" i="50"/>
  <c r="L29" i="50"/>
  <c r="AX27" i="2" s="1"/>
  <c r="L28" i="50"/>
  <c r="AX26" i="2" s="1"/>
  <c r="L27" i="50"/>
  <c r="L26" i="50"/>
  <c r="L25" i="50"/>
  <c r="L24" i="50"/>
  <c r="L23" i="50"/>
  <c r="AX21" i="2" s="1"/>
  <c r="L22" i="50"/>
  <c r="L21" i="50"/>
  <c r="AX19" i="2" s="1"/>
  <c r="L20" i="50"/>
  <c r="L19" i="50"/>
  <c r="L18" i="50"/>
  <c r="L17" i="50"/>
  <c r="L16" i="50"/>
  <c r="L15" i="50"/>
  <c r="AX13" i="2" s="1"/>
  <c r="L14" i="50"/>
  <c r="AX12" i="2" s="1"/>
  <c r="L13" i="50"/>
  <c r="L12" i="50"/>
  <c r="L11" i="50"/>
  <c r="L10" i="50"/>
  <c r="AX8" i="2" s="1"/>
  <c r="L48" i="49"/>
  <c r="L47" i="49"/>
  <c r="L46" i="49"/>
  <c r="L45" i="49"/>
  <c r="L44" i="49"/>
  <c r="L43" i="49"/>
  <c r="L42" i="49"/>
  <c r="AW40" i="2" s="1"/>
  <c r="L41" i="49"/>
  <c r="L40" i="49"/>
  <c r="AW38" i="2" s="1"/>
  <c r="L39" i="49"/>
  <c r="AW37" i="2" s="1"/>
  <c r="L38" i="49"/>
  <c r="L37" i="49"/>
  <c r="AW35" i="2" s="1"/>
  <c r="L36" i="49"/>
  <c r="L35" i="49"/>
  <c r="L34" i="49"/>
  <c r="L33" i="49"/>
  <c r="L32" i="49"/>
  <c r="L31" i="49"/>
  <c r="L30" i="49"/>
  <c r="L29" i="49"/>
  <c r="L28" i="49"/>
  <c r="L27" i="49"/>
  <c r="L26" i="49"/>
  <c r="AW24" i="2" s="1"/>
  <c r="L25" i="49"/>
  <c r="L24" i="49"/>
  <c r="L23" i="49"/>
  <c r="L22" i="49"/>
  <c r="L21" i="49"/>
  <c r="L20" i="49"/>
  <c r="L19" i="49"/>
  <c r="L18" i="49"/>
  <c r="L17" i="49"/>
  <c r="L16" i="49"/>
  <c r="L15" i="49"/>
  <c r="AW13" i="2" s="1"/>
  <c r="L14" i="49"/>
  <c r="AW12" i="2" s="1"/>
  <c r="L13" i="49"/>
  <c r="L12" i="49"/>
  <c r="L11" i="49"/>
  <c r="AW9" i="2" s="1"/>
  <c r="L10" i="49"/>
  <c r="L48" i="48"/>
  <c r="L47" i="48"/>
  <c r="L46" i="48"/>
  <c r="L45" i="48"/>
  <c r="L44" i="48"/>
  <c r="L43" i="48"/>
  <c r="L42" i="48"/>
  <c r="AV40" i="2" s="1"/>
  <c r="L41" i="48"/>
  <c r="AV39" i="2" s="1"/>
  <c r="L40" i="48"/>
  <c r="AV38" i="2" s="1"/>
  <c r="L39" i="48"/>
  <c r="L38" i="48"/>
  <c r="L37" i="48"/>
  <c r="AV35" i="2" s="1"/>
  <c r="L36" i="48"/>
  <c r="AV34" i="2" s="1"/>
  <c r="L35" i="48"/>
  <c r="L34" i="48"/>
  <c r="L33" i="48"/>
  <c r="L32" i="48"/>
  <c r="L31" i="48"/>
  <c r="L30" i="48"/>
  <c r="AV28" i="2" s="1"/>
  <c r="L29" i="48"/>
  <c r="L28" i="48"/>
  <c r="AV26" i="2" s="1"/>
  <c r="L27" i="48"/>
  <c r="L26" i="48"/>
  <c r="L25" i="48"/>
  <c r="L24" i="48"/>
  <c r="AV22" i="2" s="1"/>
  <c r="L23" i="48"/>
  <c r="L22" i="48"/>
  <c r="L21" i="48"/>
  <c r="AV19" i="2" s="1"/>
  <c r="L20" i="48"/>
  <c r="L19" i="48"/>
  <c r="L18" i="48"/>
  <c r="L17" i="48"/>
  <c r="L16" i="48"/>
  <c r="AV14" i="2" s="1"/>
  <c r="L15" i="48"/>
  <c r="AV13" i="2" s="1"/>
  <c r="L14" i="48"/>
  <c r="AV12" i="2" s="1"/>
  <c r="L13" i="48"/>
  <c r="L12" i="48"/>
  <c r="AV10" i="2" s="1"/>
  <c r="L11" i="48"/>
  <c r="L10" i="48"/>
  <c r="L48" i="47"/>
  <c r="L47" i="47"/>
  <c r="L46" i="47"/>
  <c r="L45" i="47"/>
  <c r="L44" i="47"/>
  <c r="L43" i="47"/>
  <c r="L42" i="47"/>
  <c r="L41" i="47"/>
  <c r="L40" i="47"/>
  <c r="L39" i="47"/>
  <c r="L38" i="47"/>
  <c r="L37" i="47"/>
  <c r="L36" i="47"/>
  <c r="L35" i="47"/>
  <c r="L34" i="47"/>
  <c r="L33" i="47"/>
  <c r="L32" i="47"/>
  <c r="L31" i="47"/>
  <c r="L30" i="47"/>
  <c r="L29" i="47"/>
  <c r="L28" i="47"/>
  <c r="L27" i="47"/>
  <c r="AU25" i="2" s="1"/>
  <c r="L26" i="47"/>
  <c r="L25" i="47"/>
  <c r="L24" i="47"/>
  <c r="AU22" i="2" s="1"/>
  <c r="L23" i="47"/>
  <c r="L22" i="47"/>
  <c r="L21" i="47"/>
  <c r="AU19" i="2" s="1"/>
  <c r="L20" i="47"/>
  <c r="L19" i="47"/>
  <c r="L18" i="47"/>
  <c r="L17" i="47"/>
  <c r="L16" i="47"/>
  <c r="L15" i="47"/>
  <c r="L14" i="47"/>
  <c r="L13" i="47"/>
  <c r="L48" i="46"/>
  <c r="L47" i="46"/>
  <c r="L46" i="46"/>
  <c r="L45" i="46"/>
  <c r="L44" i="46"/>
  <c r="L43" i="46"/>
  <c r="AT41" i="2" s="1"/>
  <c r="L42" i="46"/>
  <c r="L41" i="46"/>
  <c r="L40" i="46"/>
  <c r="L39" i="46"/>
  <c r="AT37" i="2" s="1"/>
  <c r="L38" i="46"/>
  <c r="AT36" i="2" s="1"/>
  <c r="L37" i="46"/>
  <c r="L36" i="46"/>
  <c r="L35" i="46"/>
  <c r="L34" i="46"/>
  <c r="L33" i="46"/>
  <c r="L32" i="46"/>
  <c r="L31" i="46"/>
  <c r="L30" i="46"/>
  <c r="L29" i="46"/>
  <c r="L28" i="46"/>
  <c r="L27" i="46"/>
  <c r="L26" i="46"/>
  <c r="AT24" i="2" s="1"/>
  <c r="L25" i="46"/>
  <c r="AT23" i="2" s="1"/>
  <c r="L24" i="46"/>
  <c r="L23" i="46"/>
  <c r="L22" i="46"/>
  <c r="L21" i="46"/>
  <c r="L20" i="46"/>
  <c r="L19" i="46"/>
  <c r="L18" i="46"/>
  <c r="L17" i="46"/>
  <c r="L16" i="46"/>
  <c r="AT14" i="2" s="1"/>
  <c r="L15" i="46"/>
  <c r="AT13" i="2" s="1"/>
  <c r="L14" i="46"/>
  <c r="L13" i="46"/>
  <c r="AT11" i="2" s="1"/>
  <c r="L12" i="46"/>
  <c r="AT10" i="2" s="1"/>
  <c r="L11" i="46"/>
  <c r="L10" i="46"/>
  <c r="L48" i="45"/>
  <c r="L47" i="45"/>
  <c r="L46" i="45"/>
  <c r="L45" i="45"/>
  <c r="L44" i="45"/>
  <c r="L43" i="45"/>
  <c r="L42" i="45"/>
  <c r="AS40" i="2" s="1"/>
  <c r="L41" i="45"/>
  <c r="L40" i="45"/>
  <c r="L39" i="45"/>
  <c r="L38" i="45"/>
  <c r="L37" i="45"/>
  <c r="L36" i="45"/>
  <c r="L35" i="45"/>
  <c r="L34" i="45"/>
  <c r="L33" i="45"/>
  <c r="L32" i="45"/>
  <c r="L31" i="45"/>
  <c r="L30" i="45"/>
  <c r="L29" i="45"/>
  <c r="L28" i="45"/>
  <c r="L27" i="45"/>
  <c r="L26" i="45"/>
  <c r="L25" i="45"/>
  <c r="L24" i="45"/>
  <c r="L23" i="45"/>
  <c r="L22" i="45"/>
  <c r="L21" i="45"/>
  <c r="AS19" i="2" s="1"/>
  <c r="L20" i="45"/>
  <c r="L19" i="45"/>
  <c r="L18" i="45"/>
  <c r="L17" i="45"/>
  <c r="L16" i="45"/>
  <c r="AS14" i="2" s="1"/>
  <c r="L15" i="45"/>
  <c r="L14" i="45"/>
  <c r="AS12" i="2" s="1"/>
  <c r="L13" i="45"/>
  <c r="L12" i="45"/>
  <c r="L11" i="45"/>
  <c r="AS9" i="2" s="1"/>
  <c r="L10" i="45"/>
  <c r="L48" i="44"/>
  <c r="L47" i="44"/>
  <c r="AR45" i="2" s="1"/>
  <c r="L46" i="44"/>
  <c r="L45" i="44"/>
  <c r="L44" i="44"/>
  <c r="L43" i="44"/>
  <c r="L42" i="44"/>
  <c r="AR40" i="2" s="1"/>
  <c r="L41" i="44"/>
  <c r="AR39" i="2" s="1"/>
  <c r="L40" i="44"/>
  <c r="L39" i="44"/>
  <c r="L38" i="44"/>
  <c r="AR36" i="2" s="1"/>
  <c r="L37" i="44"/>
  <c r="L36" i="44"/>
  <c r="L35" i="44"/>
  <c r="L34" i="44"/>
  <c r="L33" i="44"/>
  <c r="L32" i="44"/>
  <c r="L31" i="44"/>
  <c r="L30" i="44"/>
  <c r="L29" i="44"/>
  <c r="AR27" i="2" s="1"/>
  <c r="L28" i="44"/>
  <c r="L27" i="44"/>
  <c r="L26" i="44"/>
  <c r="AR24" i="2" s="1"/>
  <c r="L25" i="44"/>
  <c r="L24" i="44"/>
  <c r="L23" i="44"/>
  <c r="L22" i="44"/>
  <c r="L21" i="44"/>
  <c r="L20" i="44"/>
  <c r="L19" i="44"/>
  <c r="AR17" i="2" s="1"/>
  <c r="L18" i="44"/>
  <c r="L17" i="44"/>
  <c r="L16" i="44"/>
  <c r="L15" i="44"/>
  <c r="L14" i="44"/>
  <c r="AR12" i="2" s="1"/>
  <c r="L13" i="44"/>
  <c r="AR11" i="2" s="1"/>
  <c r="L12" i="44"/>
  <c r="L11" i="44"/>
  <c r="AR9" i="2" s="1"/>
  <c r="L10" i="44"/>
  <c r="AR8" i="2" s="1"/>
  <c r="L48" i="43"/>
  <c r="L47" i="43"/>
  <c r="L46" i="43"/>
  <c r="L45" i="43"/>
  <c r="L44" i="43"/>
  <c r="L43" i="43"/>
  <c r="L42" i="43"/>
  <c r="L41" i="43"/>
  <c r="AQ39" i="2" s="1"/>
  <c r="L40" i="43"/>
  <c r="L39" i="43"/>
  <c r="L38" i="43"/>
  <c r="L37" i="43"/>
  <c r="L36" i="43"/>
  <c r="L35" i="43"/>
  <c r="AQ33" i="2" s="1"/>
  <c r="L34" i="43"/>
  <c r="L33" i="43"/>
  <c r="L32" i="43"/>
  <c r="AQ30" i="2" s="1"/>
  <c r="L31" i="43"/>
  <c r="L30" i="43"/>
  <c r="L29" i="43"/>
  <c r="L28" i="43"/>
  <c r="AQ26" i="2" s="1"/>
  <c r="L27" i="43"/>
  <c r="L26" i="43"/>
  <c r="L25" i="43"/>
  <c r="L24" i="43"/>
  <c r="L23" i="43"/>
  <c r="L22" i="43"/>
  <c r="L21" i="43"/>
  <c r="L20" i="43"/>
  <c r="L19" i="43"/>
  <c r="L18" i="43"/>
  <c r="L17" i="43"/>
  <c r="L16" i="43"/>
  <c r="L15" i="43"/>
  <c r="L14" i="43"/>
  <c r="AQ12" i="2" s="1"/>
  <c r="L13" i="43"/>
  <c r="L12" i="43"/>
  <c r="L11" i="43"/>
  <c r="L10" i="43"/>
  <c r="AQ8" i="2" s="1"/>
  <c r="L48" i="42"/>
  <c r="L47" i="42"/>
  <c r="L46" i="42"/>
  <c r="L45" i="42"/>
  <c r="L44" i="42"/>
  <c r="AP42" i="2" s="1"/>
  <c r="L43" i="42"/>
  <c r="L42" i="42"/>
  <c r="AP40" i="2" s="1"/>
  <c r="L41" i="42"/>
  <c r="AP39" i="2" s="1"/>
  <c r="L40" i="42"/>
  <c r="L39" i="42"/>
  <c r="L38" i="42"/>
  <c r="L37" i="42"/>
  <c r="AP35" i="2" s="1"/>
  <c r="L36" i="42"/>
  <c r="L35" i="42"/>
  <c r="L34" i="42"/>
  <c r="L33" i="42"/>
  <c r="AP31" i="2" s="1"/>
  <c r="L32" i="42"/>
  <c r="L31" i="42"/>
  <c r="L30" i="42"/>
  <c r="L29" i="42"/>
  <c r="L28" i="42"/>
  <c r="AP26" i="2" s="1"/>
  <c r="L27" i="42"/>
  <c r="AP25" i="2" s="1"/>
  <c r="L26" i="42"/>
  <c r="L25" i="42"/>
  <c r="L24" i="42"/>
  <c r="L23" i="42"/>
  <c r="L22" i="42"/>
  <c r="L21" i="42"/>
  <c r="L20" i="42"/>
  <c r="L19" i="42"/>
  <c r="L18" i="42"/>
  <c r="L17" i="42"/>
  <c r="L16" i="42"/>
  <c r="L15" i="42"/>
  <c r="L14" i="42"/>
  <c r="AP12" i="2" s="1"/>
  <c r="L13" i="42"/>
  <c r="L12" i="42"/>
  <c r="AP10" i="2" s="1"/>
  <c r="L11" i="42"/>
  <c r="L10" i="42"/>
  <c r="AP8" i="2" s="1"/>
  <c r="L48" i="41"/>
  <c r="L47" i="41"/>
  <c r="L46" i="41"/>
  <c r="L45" i="41"/>
  <c r="L44" i="41"/>
  <c r="L43" i="41"/>
  <c r="L42" i="41"/>
  <c r="L41" i="41"/>
  <c r="L40" i="41"/>
  <c r="L39" i="41"/>
  <c r="L38" i="41"/>
  <c r="L37" i="41"/>
  <c r="AO35" i="2" s="1"/>
  <c r="L36" i="41"/>
  <c r="L35" i="41"/>
  <c r="L34" i="41"/>
  <c r="L33" i="41"/>
  <c r="L32" i="41"/>
  <c r="L31" i="41"/>
  <c r="L30" i="41"/>
  <c r="L29" i="41"/>
  <c r="L28" i="41"/>
  <c r="L27" i="41"/>
  <c r="L26" i="41"/>
  <c r="AO24" i="2" s="1"/>
  <c r="L25" i="41"/>
  <c r="L24" i="41"/>
  <c r="AO22" i="2" s="1"/>
  <c r="L23" i="41"/>
  <c r="L22" i="41"/>
  <c r="L21" i="41"/>
  <c r="AO19" i="2" s="1"/>
  <c r="L20" i="41"/>
  <c r="L19" i="41"/>
  <c r="L18" i="41"/>
  <c r="L17" i="41"/>
  <c r="L16" i="41"/>
  <c r="L15" i="41"/>
  <c r="L14" i="41"/>
  <c r="L13" i="41"/>
  <c r="L12" i="41"/>
  <c r="L11" i="41"/>
  <c r="L10" i="41"/>
  <c r="AO8" i="2" s="1"/>
  <c r="L48" i="40"/>
  <c r="L47" i="40"/>
  <c r="L46" i="40"/>
  <c r="L45" i="40"/>
  <c r="L44" i="40"/>
  <c r="L43" i="40"/>
  <c r="L42" i="40"/>
  <c r="L41" i="40"/>
  <c r="L40" i="40"/>
  <c r="L39" i="40"/>
  <c r="L38" i="40"/>
  <c r="L37" i="40"/>
  <c r="L36" i="40"/>
  <c r="L35" i="40"/>
  <c r="L34" i="40"/>
  <c r="L33" i="40"/>
  <c r="L32" i="40"/>
  <c r="L31" i="40"/>
  <c r="L30" i="40"/>
  <c r="L29" i="40"/>
  <c r="L28" i="40"/>
  <c r="L27" i="40"/>
  <c r="L26" i="40"/>
  <c r="AN24" i="2" s="1"/>
  <c r="L25" i="40"/>
  <c r="L24" i="40"/>
  <c r="L23" i="40"/>
  <c r="L22" i="40"/>
  <c r="L21" i="40"/>
  <c r="L20" i="40"/>
  <c r="L19" i="40"/>
  <c r="L18" i="40"/>
  <c r="L17" i="40"/>
  <c r="L16" i="40"/>
  <c r="L15" i="40"/>
  <c r="L14" i="40"/>
  <c r="AN12" i="2" s="1"/>
  <c r="L13" i="40"/>
  <c r="L48" i="39"/>
  <c r="L47" i="39"/>
  <c r="L46" i="39"/>
  <c r="L45" i="39"/>
  <c r="L44" i="39"/>
  <c r="L43" i="39"/>
  <c r="L42" i="39"/>
  <c r="L41" i="39"/>
  <c r="L40" i="39"/>
  <c r="L39" i="39"/>
  <c r="AM37" i="2" s="1"/>
  <c r="L38" i="39"/>
  <c r="L37" i="39"/>
  <c r="L36" i="39"/>
  <c r="L35" i="39"/>
  <c r="L34" i="39"/>
  <c r="L33" i="39"/>
  <c r="L32" i="39"/>
  <c r="L31" i="39"/>
  <c r="L30" i="39"/>
  <c r="L29" i="39"/>
  <c r="AM27" i="2" s="1"/>
  <c r="L28" i="39"/>
  <c r="AM26" i="2" s="1"/>
  <c r="L27" i="39"/>
  <c r="L26" i="39"/>
  <c r="L25" i="39"/>
  <c r="L24" i="39"/>
  <c r="L23" i="39"/>
  <c r="L22" i="39"/>
  <c r="L21" i="39"/>
  <c r="L20" i="39"/>
  <c r="L19" i="39"/>
  <c r="L18" i="39"/>
  <c r="L17" i="39"/>
  <c r="L16" i="39"/>
  <c r="AM14" i="2" s="1"/>
  <c r="L15" i="39"/>
  <c r="AM13" i="2" s="1"/>
  <c r="L14" i="39"/>
  <c r="L13" i="39"/>
  <c r="L12" i="39"/>
  <c r="L11" i="39"/>
  <c r="L10" i="39"/>
  <c r="L48" i="38"/>
  <c r="L47" i="38"/>
  <c r="L46" i="38"/>
  <c r="L45" i="38"/>
  <c r="L44" i="38"/>
  <c r="AL42" i="2" s="1"/>
  <c r="L43" i="38"/>
  <c r="L42" i="38"/>
  <c r="L41" i="38"/>
  <c r="L40" i="38"/>
  <c r="AL38" i="2" s="1"/>
  <c r="L39" i="38"/>
  <c r="L38" i="38"/>
  <c r="L37" i="38"/>
  <c r="L36" i="38"/>
  <c r="L35" i="38"/>
  <c r="L34" i="38"/>
  <c r="AL32" i="2" s="1"/>
  <c r="L33" i="38"/>
  <c r="L32" i="38"/>
  <c r="L31" i="38"/>
  <c r="L30" i="38"/>
  <c r="AL28" i="2" s="1"/>
  <c r="L29" i="38"/>
  <c r="L28" i="38"/>
  <c r="L27" i="38"/>
  <c r="L26" i="38"/>
  <c r="L25" i="38"/>
  <c r="AL23" i="2" s="1"/>
  <c r="L24" i="38"/>
  <c r="AL22" i="2" s="1"/>
  <c r="L23" i="38"/>
  <c r="L22" i="38"/>
  <c r="L21" i="38"/>
  <c r="L20" i="38"/>
  <c r="AL18" i="2" s="1"/>
  <c r="L19" i="38"/>
  <c r="L18" i="38"/>
  <c r="L17" i="38"/>
  <c r="L16" i="38"/>
  <c r="AL14" i="2" s="1"/>
  <c r="L15" i="38"/>
  <c r="AL13" i="2" s="1"/>
  <c r="L14" i="38"/>
  <c r="L13" i="38"/>
  <c r="L12" i="38"/>
  <c r="AL10" i="2" s="1"/>
  <c r="L11" i="38"/>
  <c r="AL9" i="2" s="1"/>
  <c r="L10" i="38"/>
  <c r="L48" i="37"/>
  <c r="L47" i="37"/>
  <c r="L46" i="37"/>
  <c r="L45" i="37"/>
  <c r="L44" i="37"/>
  <c r="L43" i="37"/>
  <c r="L42" i="37"/>
  <c r="L41" i="37"/>
  <c r="L40" i="37"/>
  <c r="AK38" i="2" s="1"/>
  <c r="L39" i="37"/>
  <c r="L38" i="37"/>
  <c r="L37" i="37"/>
  <c r="L36" i="37"/>
  <c r="L35" i="37"/>
  <c r="L34" i="37"/>
  <c r="L33" i="37"/>
  <c r="L32" i="37"/>
  <c r="L31" i="37"/>
  <c r="L30" i="37"/>
  <c r="L29" i="37"/>
  <c r="AK27" i="2" s="1"/>
  <c r="L28" i="37"/>
  <c r="L27" i="37"/>
  <c r="L26" i="37"/>
  <c r="AK24" i="2" s="1"/>
  <c r="L25" i="37"/>
  <c r="L24" i="37"/>
  <c r="L23" i="37"/>
  <c r="L22" i="37"/>
  <c r="L21" i="37"/>
  <c r="AK19" i="2" s="1"/>
  <c r="L20" i="37"/>
  <c r="L19" i="37"/>
  <c r="L18" i="37"/>
  <c r="L17" i="37"/>
  <c r="L16" i="37"/>
  <c r="AK14" i="2" s="1"/>
  <c r="L15" i="37"/>
  <c r="L14" i="37"/>
  <c r="L13" i="37"/>
  <c r="AK11" i="2" s="1"/>
  <c r="L12" i="37"/>
  <c r="AK10" i="2" s="1"/>
  <c r="L11" i="37"/>
  <c r="L10" i="37"/>
  <c r="L48" i="36"/>
  <c r="L47" i="36"/>
  <c r="L46" i="36"/>
  <c r="AJ44" i="2" s="1"/>
  <c r="L45" i="36"/>
  <c r="L44" i="36"/>
  <c r="L43" i="36"/>
  <c r="AJ41" i="2" s="1"/>
  <c r="L42" i="36"/>
  <c r="AJ40" i="2" s="1"/>
  <c r="L41" i="36"/>
  <c r="AJ39" i="2" s="1"/>
  <c r="L40" i="36"/>
  <c r="L39" i="36"/>
  <c r="L38" i="36"/>
  <c r="L37" i="36"/>
  <c r="L36" i="36"/>
  <c r="L35" i="36"/>
  <c r="L34" i="36"/>
  <c r="L33" i="36"/>
  <c r="L32" i="36"/>
  <c r="L31" i="36"/>
  <c r="L30" i="36"/>
  <c r="L29" i="36"/>
  <c r="L28" i="36"/>
  <c r="L27" i="36"/>
  <c r="L26" i="36"/>
  <c r="L25" i="36"/>
  <c r="L24" i="36"/>
  <c r="AJ22" i="2" s="1"/>
  <c r="L23" i="36"/>
  <c r="AJ21" i="2" s="1"/>
  <c r="L22" i="36"/>
  <c r="L21" i="36"/>
  <c r="L20" i="36"/>
  <c r="L19" i="36"/>
  <c r="L18" i="36"/>
  <c r="L17" i="36"/>
  <c r="L16" i="36"/>
  <c r="L15" i="36"/>
  <c r="L14" i="36"/>
  <c r="L13" i="36"/>
  <c r="AJ11" i="2" s="1"/>
  <c r="L12" i="36"/>
  <c r="L11" i="36"/>
  <c r="L10" i="36"/>
  <c r="L48" i="35"/>
  <c r="L47" i="35"/>
  <c r="L46" i="35"/>
  <c r="L45" i="35"/>
  <c r="L44" i="35"/>
  <c r="L43" i="35"/>
  <c r="AI41" i="2" s="1"/>
  <c r="L42" i="35"/>
  <c r="AI40" i="2" s="1"/>
  <c r="L41" i="35"/>
  <c r="AI39" i="2" s="1"/>
  <c r="L40" i="35"/>
  <c r="AI38" i="2" s="1"/>
  <c r="L39" i="35"/>
  <c r="AI37" i="2" s="1"/>
  <c r="L38" i="35"/>
  <c r="L37" i="35"/>
  <c r="L36" i="35"/>
  <c r="L35" i="35"/>
  <c r="L34" i="35"/>
  <c r="AI32" i="2" s="1"/>
  <c r="L33" i="35"/>
  <c r="L32" i="35"/>
  <c r="L31" i="35"/>
  <c r="L30" i="35"/>
  <c r="L29" i="35"/>
  <c r="L28" i="35"/>
  <c r="AI26" i="2" s="1"/>
  <c r="L27" i="35"/>
  <c r="AI25" i="2" s="1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AI8" i="2" s="1"/>
  <c r="L48" i="34"/>
  <c r="L47" i="34"/>
  <c r="L46" i="34"/>
  <c r="L45" i="34"/>
  <c r="L44" i="34"/>
  <c r="L43" i="34"/>
  <c r="L42" i="34"/>
  <c r="AH40" i="2" s="1"/>
  <c r="L41" i="34"/>
  <c r="AH39" i="2" s="1"/>
  <c r="L40" i="34"/>
  <c r="AH38" i="2" s="1"/>
  <c r="L39" i="34"/>
  <c r="AH37" i="2" s="1"/>
  <c r="L38" i="34"/>
  <c r="AH36" i="2" s="1"/>
  <c r="L37" i="34"/>
  <c r="L36" i="34"/>
  <c r="L35" i="34"/>
  <c r="L34" i="34"/>
  <c r="L33" i="34"/>
  <c r="L32" i="34"/>
  <c r="L31" i="34"/>
  <c r="L30" i="34"/>
  <c r="L29" i="34"/>
  <c r="AH27" i="2" s="1"/>
  <c r="L28" i="34"/>
  <c r="L27" i="34"/>
  <c r="L26" i="34"/>
  <c r="AH24" i="2" s="1"/>
  <c r="L25" i="34"/>
  <c r="L24" i="34"/>
  <c r="AH22" i="2" s="1"/>
  <c r="L23" i="34"/>
  <c r="L22" i="34"/>
  <c r="L21" i="34"/>
  <c r="L20" i="34"/>
  <c r="L19" i="34"/>
  <c r="L18" i="34"/>
  <c r="L17" i="34"/>
  <c r="L16" i="34"/>
  <c r="L15" i="34"/>
  <c r="AH13" i="2" s="1"/>
  <c r="L14" i="34"/>
  <c r="L13" i="34"/>
  <c r="AH11" i="2" s="1"/>
  <c r="L12" i="34"/>
  <c r="L11" i="34"/>
  <c r="L10" i="34"/>
  <c r="AH8" i="2" s="1"/>
  <c r="L48" i="33"/>
  <c r="AG46" i="2" s="1"/>
  <c r="L47" i="33"/>
  <c r="L46" i="33"/>
  <c r="L45" i="33"/>
  <c r="L44" i="33"/>
  <c r="L43" i="33"/>
  <c r="AG41" i="2" s="1"/>
  <c r="L42" i="33"/>
  <c r="AG40" i="2" s="1"/>
  <c r="L41" i="33"/>
  <c r="AG39" i="2" s="1"/>
  <c r="L40" i="33"/>
  <c r="L39" i="33"/>
  <c r="L38" i="33"/>
  <c r="L37" i="33"/>
  <c r="L36" i="33"/>
  <c r="L35" i="33"/>
  <c r="L34" i="33"/>
  <c r="L33" i="33"/>
  <c r="L32" i="33"/>
  <c r="L31" i="33"/>
  <c r="L30" i="33"/>
  <c r="L29" i="33"/>
  <c r="AG27" i="2" s="1"/>
  <c r="L28" i="33"/>
  <c r="AG26" i="2" s="1"/>
  <c r="L27" i="33"/>
  <c r="L26" i="33"/>
  <c r="AG24" i="2" s="1"/>
  <c r="L25" i="33"/>
  <c r="L24" i="33"/>
  <c r="L23" i="33"/>
  <c r="L22" i="33"/>
  <c r="L21" i="33"/>
  <c r="L20" i="33"/>
  <c r="L19" i="33"/>
  <c r="L18" i="33"/>
  <c r="L17" i="33"/>
  <c r="L16" i="33"/>
  <c r="L15" i="33"/>
  <c r="L14" i="33"/>
  <c r="AG12" i="2" s="1"/>
  <c r="L13" i="33"/>
  <c r="L12" i="33"/>
  <c r="AG10" i="2" s="1"/>
  <c r="L11" i="33"/>
  <c r="L10" i="33"/>
  <c r="L48" i="32"/>
  <c r="L47" i="32"/>
  <c r="L46" i="32"/>
  <c r="L45" i="32"/>
  <c r="L44" i="32"/>
  <c r="L43" i="32"/>
  <c r="L42" i="32"/>
  <c r="L41" i="32"/>
  <c r="L40" i="32"/>
  <c r="AF38" i="2" s="1"/>
  <c r="L39" i="32"/>
  <c r="AF37" i="2" s="1"/>
  <c r="L38" i="32"/>
  <c r="AF36" i="2" s="1"/>
  <c r="L37" i="32"/>
  <c r="AF35" i="2" s="1"/>
  <c r="L36" i="32"/>
  <c r="L35" i="32"/>
  <c r="L34" i="32"/>
  <c r="L33" i="32"/>
  <c r="L32" i="32"/>
  <c r="L31" i="32"/>
  <c r="L30" i="32"/>
  <c r="L29" i="32"/>
  <c r="L28" i="32"/>
  <c r="AF26" i="2" s="1"/>
  <c r="L27" i="32"/>
  <c r="L26" i="32"/>
  <c r="L25" i="32"/>
  <c r="L24" i="32"/>
  <c r="L23" i="32"/>
  <c r="L22" i="32"/>
  <c r="L21" i="32"/>
  <c r="AF19" i="2" s="1"/>
  <c r="L20" i="32"/>
  <c r="L19" i="32"/>
  <c r="L18" i="32"/>
  <c r="L17" i="32"/>
  <c r="L16" i="32"/>
  <c r="L15" i="32"/>
  <c r="L14" i="32"/>
  <c r="AF12" i="2" s="1"/>
  <c r="L13" i="32"/>
  <c r="AF11" i="2" s="1"/>
  <c r="L12" i="32"/>
  <c r="AF10" i="2" s="1"/>
  <c r="L11" i="32"/>
  <c r="L10" i="32"/>
  <c r="L48" i="31"/>
  <c r="L47" i="31"/>
  <c r="L46" i="31"/>
  <c r="L45" i="31"/>
  <c r="L44" i="31"/>
  <c r="L43" i="31"/>
  <c r="AE41" i="2" s="1"/>
  <c r="L42" i="31"/>
  <c r="AE40" i="2" s="1"/>
  <c r="L41" i="31"/>
  <c r="AE39" i="2" s="1"/>
  <c r="L40" i="31"/>
  <c r="AE38" i="2" s="1"/>
  <c r="L39" i="31"/>
  <c r="AE37" i="2" s="1"/>
  <c r="L38" i="31"/>
  <c r="L37" i="31"/>
  <c r="L36" i="31"/>
  <c r="L35" i="31"/>
  <c r="AE33" i="2" s="1"/>
  <c r="L34" i="31"/>
  <c r="L33" i="31"/>
  <c r="L32" i="31"/>
  <c r="L31" i="31"/>
  <c r="L30" i="31"/>
  <c r="L29" i="31"/>
  <c r="L28" i="31"/>
  <c r="L27" i="31"/>
  <c r="L26" i="31"/>
  <c r="L25" i="31"/>
  <c r="L24" i="31"/>
  <c r="L23" i="31"/>
  <c r="L22" i="31"/>
  <c r="L21" i="31"/>
  <c r="L20" i="31"/>
  <c r="L19" i="31"/>
  <c r="L18" i="31"/>
  <c r="L17" i="31"/>
  <c r="L16" i="31"/>
  <c r="L15" i="31"/>
  <c r="L14" i="31"/>
  <c r="L13" i="31"/>
  <c r="AE11" i="2" s="1"/>
  <c r="L12" i="31"/>
  <c r="AE10" i="2" s="1"/>
  <c r="L11" i="31"/>
  <c r="AE9" i="2" s="1"/>
  <c r="L10" i="31"/>
  <c r="L48" i="30"/>
  <c r="L47" i="30"/>
  <c r="L46" i="30"/>
  <c r="L45" i="30"/>
  <c r="L44" i="30"/>
  <c r="L43" i="30"/>
  <c r="L42" i="30"/>
  <c r="L41" i="30"/>
  <c r="L40" i="30"/>
  <c r="AD38" i="2" s="1"/>
  <c r="L39" i="30"/>
  <c r="AD37" i="2" s="1"/>
  <c r="L38" i="30"/>
  <c r="L37" i="30"/>
  <c r="L36" i="30"/>
  <c r="L35" i="30"/>
  <c r="L34" i="30"/>
  <c r="L33" i="30"/>
  <c r="L32" i="30"/>
  <c r="L31" i="30"/>
  <c r="L30" i="30"/>
  <c r="AD28" i="2" s="1"/>
  <c r="L29" i="30"/>
  <c r="L28" i="30"/>
  <c r="L27" i="30"/>
  <c r="L26" i="30"/>
  <c r="L25" i="30"/>
  <c r="L24" i="30"/>
  <c r="L23" i="30"/>
  <c r="AD21" i="2" s="1"/>
  <c r="L22" i="30"/>
  <c r="L21" i="30"/>
  <c r="L20" i="30"/>
  <c r="L19" i="30"/>
  <c r="L18" i="30"/>
  <c r="L17" i="30"/>
  <c r="L16" i="30"/>
  <c r="L15" i="30"/>
  <c r="AD13" i="2" s="1"/>
  <c r="L14" i="30"/>
  <c r="L13" i="30"/>
  <c r="AD11" i="2" s="1"/>
  <c r="L12" i="30"/>
  <c r="L11" i="30"/>
  <c r="L10" i="30"/>
  <c r="AD8" i="2" s="1"/>
  <c r="L48" i="29"/>
  <c r="L47" i="29"/>
  <c r="L46" i="29"/>
  <c r="L45" i="29"/>
  <c r="L44" i="29"/>
  <c r="L43" i="29"/>
  <c r="L42" i="29"/>
  <c r="L41" i="29"/>
  <c r="L40" i="29"/>
  <c r="AC38" i="2" s="1"/>
  <c r="L39" i="29"/>
  <c r="AC37" i="2" s="1"/>
  <c r="L38" i="29"/>
  <c r="AC36" i="2" s="1"/>
  <c r="L37" i="29"/>
  <c r="L36" i="29"/>
  <c r="L35" i="29"/>
  <c r="L34" i="29"/>
  <c r="L33" i="29"/>
  <c r="L32" i="29"/>
  <c r="L31" i="29"/>
  <c r="L30" i="29"/>
  <c r="L29" i="29"/>
  <c r="L28" i="29"/>
  <c r="L27" i="29"/>
  <c r="L26" i="29"/>
  <c r="L25" i="29"/>
  <c r="L24" i="29"/>
  <c r="AC22" i="2" s="1"/>
  <c r="L23" i="29"/>
  <c r="L22" i="29"/>
  <c r="L21" i="29"/>
  <c r="AC19" i="2" s="1"/>
  <c r="L20" i="29"/>
  <c r="L19" i="29"/>
  <c r="L18" i="29"/>
  <c r="L17" i="29"/>
  <c r="L16" i="29"/>
  <c r="L15" i="29"/>
  <c r="L14" i="29"/>
  <c r="L13" i="29"/>
  <c r="L12" i="29"/>
  <c r="AC10" i="2" s="1"/>
  <c r="L11" i="29"/>
  <c r="AC9" i="2" s="1"/>
  <c r="L10" i="29"/>
  <c r="L48" i="28"/>
  <c r="L47" i="28"/>
  <c r="L46" i="28"/>
  <c r="L45" i="28"/>
  <c r="L44" i="28"/>
  <c r="AB42" i="2" s="1"/>
  <c r="L43" i="28"/>
  <c r="L42" i="28"/>
  <c r="L41" i="28"/>
  <c r="L40" i="28"/>
  <c r="L39" i="28"/>
  <c r="AB37" i="2" s="1"/>
  <c r="L38" i="28"/>
  <c r="AB36" i="2" s="1"/>
  <c r="L37" i="28"/>
  <c r="L36" i="28"/>
  <c r="L35" i="28"/>
  <c r="L34" i="28"/>
  <c r="L33" i="28"/>
  <c r="L32" i="28"/>
  <c r="L31" i="28"/>
  <c r="L30" i="28"/>
  <c r="AB28" i="2" s="1"/>
  <c r="L29" i="28"/>
  <c r="L28" i="28"/>
  <c r="L27" i="28"/>
  <c r="L26" i="28"/>
  <c r="L25" i="28"/>
  <c r="L24" i="28"/>
  <c r="L23" i="28"/>
  <c r="AB21" i="2" s="1"/>
  <c r="L22" i="28"/>
  <c r="L21" i="28"/>
  <c r="L20" i="28"/>
  <c r="L19" i="28"/>
  <c r="L18" i="28"/>
  <c r="L17" i="28"/>
  <c r="L16" i="28"/>
  <c r="L15" i="28"/>
  <c r="L14" i="28"/>
  <c r="L13" i="28"/>
  <c r="AB11" i="2" s="1"/>
  <c r="L12" i="28"/>
  <c r="AB10" i="2" s="1"/>
  <c r="L11" i="28"/>
  <c r="AB9" i="2" s="1"/>
  <c r="L10" i="28"/>
  <c r="L48" i="27"/>
  <c r="L47" i="27"/>
  <c r="L46" i="27"/>
  <c r="AA44" i="2" s="1"/>
  <c r="L45" i="27"/>
  <c r="L44" i="27"/>
  <c r="AA42" i="2" s="1"/>
  <c r="L43" i="27"/>
  <c r="L42" i="27"/>
  <c r="L41" i="27"/>
  <c r="L40" i="27"/>
  <c r="L39" i="27"/>
  <c r="L38" i="27"/>
  <c r="L37" i="27"/>
  <c r="L36" i="27"/>
  <c r="L35" i="27"/>
  <c r="AA33" i="2" s="1"/>
  <c r="L34" i="27"/>
  <c r="L33" i="27"/>
  <c r="L32" i="27"/>
  <c r="L31" i="27"/>
  <c r="L30" i="27"/>
  <c r="L29" i="27"/>
  <c r="AA27" i="2" s="1"/>
  <c r="L28" i="27"/>
  <c r="L27" i="27"/>
  <c r="AA25" i="2" s="1"/>
  <c r="L26" i="27"/>
  <c r="AA24" i="2" s="1"/>
  <c r="L25" i="27"/>
  <c r="L24" i="27"/>
  <c r="L23" i="27"/>
  <c r="L22" i="27"/>
  <c r="L21" i="27"/>
  <c r="L20" i="27"/>
  <c r="L19" i="27"/>
  <c r="L18" i="27"/>
  <c r="L17" i="27"/>
  <c r="L16" i="27"/>
  <c r="L15" i="27"/>
  <c r="L14" i="27"/>
  <c r="L13" i="27"/>
  <c r="L12" i="27"/>
  <c r="AA10" i="2" s="1"/>
  <c r="L11" i="27"/>
  <c r="L10" i="27"/>
  <c r="L48" i="26"/>
  <c r="L47" i="26"/>
  <c r="L46" i="26"/>
  <c r="L45" i="26"/>
  <c r="L44" i="26"/>
  <c r="Z42" i="2" s="1"/>
  <c r="L43" i="26"/>
  <c r="Z41" i="2" s="1"/>
  <c r="L42" i="26"/>
  <c r="L41" i="26"/>
  <c r="Z39" i="2" s="1"/>
  <c r="L40" i="26"/>
  <c r="L39" i="26"/>
  <c r="L38" i="26"/>
  <c r="Z36" i="2" s="1"/>
  <c r="L37" i="26"/>
  <c r="L36" i="26"/>
  <c r="L35" i="26"/>
  <c r="L34" i="26"/>
  <c r="L33" i="26"/>
  <c r="L32" i="26"/>
  <c r="L31" i="26"/>
  <c r="L30" i="26"/>
  <c r="L29" i="26"/>
  <c r="Z27" i="2" s="1"/>
  <c r="L28" i="26"/>
  <c r="Z26" i="2" s="1"/>
  <c r="L27" i="26"/>
  <c r="Z25" i="2" s="1"/>
  <c r="L26" i="26"/>
  <c r="L25" i="26"/>
  <c r="Z23" i="2" s="1"/>
  <c r="L24" i="26"/>
  <c r="Z22" i="2" s="1"/>
  <c r="L23" i="26"/>
  <c r="Z21" i="2" s="1"/>
  <c r="L22" i="26"/>
  <c r="L21" i="26"/>
  <c r="L20" i="26"/>
  <c r="L19" i="26"/>
  <c r="L18" i="26"/>
  <c r="L17" i="26"/>
  <c r="L16" i="26"/>
  <c r="Z14" i="2" s="1"/>
  <c r="L15" i="26"/>
  <c r="L14" i="26"/>
  <c r="L13" i="26"/>
  <c r="Z11" i="2" s="1"/>
  <c r="L12" i="26"/>
  <c r="L11" i="26"/>
  <c r="Z9" i="2" s="1"/>
  <c r="L10" i="26"/>
  <c r="L48" i="25"/>
  <c r="L47" i="25"/>
  <c r="L46" i="25"/>
  <c r="L45" i="25"/>
  <c r="L44" i="25"/>
  <c r="Y42" i="2" s="1"/>
  <c r="L43" i="25"/>
  <c r="Y41" i="2" s="1"/>
  <c r="L42" i="25"/>
  <c r="L41" i="25"/>
  <c r="L40" i="25"/>
  <c r="L39" i="25"/>
  <c r="Y37" i="2" s="1"/>
  <c r="L38" i="25"/>
  <c r="L37" i="25"/>
  <c r="L36" i="25"/>
  <c r="L35" i="25"/>
  <c r="L34" i="25"/>
  <c r="L33" i="25"/>
  <c r="L32" i="25"/>
  <c r="L31" i="25"/>
  <c r="L30" i="25"/>
  <c r="L29" i="25"/>
  <c r="Y27" i="2" s="1"/>
  <c r="L28" i="25"/>
  <c r="L27" i="25"/>
  <c r="Y25" i="2" s="1"/>
  <c r="L26" i="25"/>
  <c r="L25" i="25"/>
  <c r="Y23" i="2" s="1"/>
  <c r="L24" i="25"/>
  <c r="L23" i="25"/>
  <c r="L22" i="25"/>
  <c r="L21" i="25"/>
  <c r="L20" i="25"/>
  <c r="L19" i="25"/>
  <c r="L18" i="25"/>
  <c r="L17" i="25"/>
  <c r="L16" i="25"/>
  <c r="Y14" i="2" s="1"/>
  <c r="L15" i="25"/>
  <c r="L14" i="25"/>
  <c r="Y12" i="2" s="1"/>
  <c r="L13" i="25"/>
  <c r="L12" i="25"/>
  <c r="L11" i="25"/>
  <c r="L10" i="25"/>
  <c r="Y8" i="2" s="1"/>
  <c r="L48" i="24"/>
  <c r="L47" i="24"/>
  <c r="L46" i="24"/>
  <c r="L45" i="24"/>
  <c r="L44" i="24"/>
  <c r="L43" i="24"/>
  <c r="L42" i="24"/>
  <c r="L41" i="24"/>
  <c r="L40" i="24"/>
  <c r="L39" i="24"/>
  <c r="L38" i="24"/>
  <c r="L37" i="24"/>
  <c r="L36" i="24"/>
  <c r="L35" i="24"/>
  <c r="L34" i="24"/>
  <c r="L33" i="24"/>
  <c r="L32" i="24"/>
  <c r="L31" i="24"/>
  <c r="L30" i="24"/>
  <c r="X28" i="2" s="1"/>
  <c r="L29" i="24"/>
  <c r="L28" i="24"/>
  <c r="L27" i="24"/>
  <c r="X25" i="2" s="1"/>
  <c r="L26" i="24"/>
  <c r="L25" i="24"/>
  <c r="X23" i="2" s="1"/>
  <c r="L24" i="24"/>
  <c r="L23" i="24"/>
  <c r="X21" i="2" s="1"/>
  <c r="L22" i="24"/>
  <c r="L21" i="24"/>
  <c r="L20" i="24"/>
  <c r="L19" i="24"/>
  <c r="L18" i="24"/>
  <c r="L17" i="24"/>
  <c r="L16" i="24"/>
  <c r="L15" i="24"/>
  <c r="L14" i="24"/>
  <c r="L13" i="24"/>
  <c r="X11" i="2" s="1"/>
  <c r="L12" i="24"/>
  <c r="L11" i="24"/>
  <c r="X9" i="2" s="1"/>
  <c r="L10" i="24"/>
  <c r="X8" i="2" s="1"/>
  <c r="L48" i="23"/>
  <c r="L47" i="23"/>
  <c r="L46" i="23"/>
  <c r="L45" i="23"/>
  <c r="L44" i="23"/>
  <c r="W42" i="2" s="1"/>
  <c r="L43" i="23"/>
  <c r="W41" i="2" s="1"/>
  <c r="L42" i="23"/>
  <c r="L41" i="23"/>
  <c r="L40" i="23"/>
  <c r="L39" i="23"/>
  <c r="L38" i="23"/>
  <c r="W36" i="2" s="1"/>
  <c r="L37" i="23"/>
  <c r="L36" i="23"/>
  <c r="L35" i="23"/>
  <c r="L34" i="23"/>
  <c r="L33" i="23"/>
  <c r="L32" i="23"/>
  <c r="L31" i="23"/>
  <c r="L30" i="23"/>
  <c r="L29" i="23"/>
  <c r="L28" i="23"/>
  <c r="L27" i="23"/>
  <c r="W25" i="2" s="1"/>
  <c r="L26" i="23"/>
  <c r="L25" i="23"/>
  <c r="W23" i="2" s="1"/>
  <c r="L24" i="23"/>
  <c r="W22" i="2" s="1"/>
  <c r="L23" i="23"/>
  <c r="W21" i="2" s="1"/>
  <c r="L22" i="23"/>
  <c r="W20" i="2" s="1"/>
  <c r="L21" i="23"/>
  <c r="L20" i="23"/>
  <c r="L19" i="23"/>
  <c r="W17" i="2" s="1"/>
  <c r="L18" i="23"/>
  <c r="W16" i="2" s="1"/>
  <c r="L17" i="23"/>
  <c r="L16" i="23"/>
  <c r="L15" i="23"/>
  <c r="L14" i="23"/>
  <c r="L13" i="23"/>
  <c r="W11" i="2" s="1"/>
  <c r="L12" i="23"/>
  <c r="W10" i="2" s="1"/>
  <c r="L11" i="23"/>
  <c r="L10" i="23"/>
  <c r="W26" i="2"/>
  <c r="L48" i="22"/>
  <c r="L47" i="22"/>
  <c r="L46" i="22"/>
  <c r="L45" i="22"/>
  <c r="L44" i="22"/>
  <c r="L43" i="22"/>
  <c r="L42" i="22"/>
  <c r="L41" i="22"/>
  <c r="L40" i="22"/>
  <c r="L39" i="22"/>
  <c r="L38" i="22"/>
  <c r="V36" i="2" s="1"/>
  <c r="L37" i="22"/>
  <c r="L36" i="22"/>
  <c r="L35" i="22"/>
  <c r="L34" i="22"/>
  <c r="L33" i="22"/>
  <c r="L32" i="22"/>
  <c r="L31" i="22"/>
  <c r="L30" i="22"/>
  <c r="L29" i="22"/>
  <c r="L28" i="22"/>
  <c r="L27" i="22"/>
  <c r="V25" i="2" s="1"/>
  <c r="L26" i="22"/>
  <c r="V24" i="2" s="1"/>
  <c r="L25" i="22"/>
  <c r="V23" i="2" s="1"/>
  <c r="L24" i="22"/>
  <c r="V22" i="2" s="1"/>
  <c r="L23" i="22"/>
  <c r="L22" i="22"/>
  <c r="L21" i="22"/>
  <c r="L20" i="22"/>
  <c r="L19" i="22"/>
  <c r="L18" i="22"/>
  <c r="L17" i="22"/>
  <c r="L16" i="22"/>
  <c r="L15" i="22"/>
  <c r="L14" i="22"/>
  <c r="V12" i="2" s="1"/>
  <c r="L13" i="22"/>
  <c r="L12" i="22"/>
  <c r="L11" i="22"/>
  <c r="V9" i="2" s="1"/>
  <c r="L10" i="22"/>
  <c r="L48" i="21"/>
  <c r="L47" i="21"/>
  <c r="L46" i="21"/>
  <c r="L45" i="21"/>
  <c r="L44" i="21"/>
  <c r="U42" i="2" s="1"/>
  <c r="L43" i="21"/>
  <c r="L42" i="21"/>
  <c r="U40" i="2" s="1"/>
  <c r="L41" i="21"/>
  <c r="L40" i="21"/>
  <c r="U38" i="2" s="1"/>
  <c r="L39" i="21"/>
  <c r="L38" i="21"/>
  <c r="L37" i="21"/>
  <c r="L36" i="21"/>
  <c r="L35" i="21"/>
  <c r="L34" i="21"/>
  <c r="L33" i="21"/>
  <c r="L32" i="21"/>
  <c r="L31" i="21"/>
  <c r="L30" i="21"/>
  <c r="L29" i="21"/>
  <c r="L28" i="21"/>
  <c r="L27" i="21"/>
  <c r="U25" i="2" s="1"/>
  <c r="L26" i="21"/>
  <c r="L25" i="21"/>
  <c r="L24" i="21"/>
  <c r="L23" i="21"/>
  <c r="L22" i="21"/>
  <c r="L21" i="21"/>
  <c r="L20" i="21"/>
  <c r="L19" i="21"/>
  <c r="L18" i="21"/>
  <c r="L17" i="21"/>
  <c r="L16" i="21"/>
  <c r="L15" i="21"/>
  <c r="U13" i="2" s="1"/>
  <c r="L14" i="21"/>
  <c r="U12" i="2" s="1"/>
  <c r="L13" i="21"/>
  <c r="L12" i="21"/>
  <c r="L11" i="21"/>
  <c r="L10" i="21"/>
  <c r="U8" i="2" s="1"/>
  <c r="L48" i="20"/>
  <c r="L47" i="20"/>
  <c r="L46" i="20"/>
  <c r="L45" i="20"/>
  <c r="L44" i="20"/>
  <c r="L43" i="20"/>
  <c r="T41" i="2" s="1"/>
  <c r="L42" i="20"/>
  <c r="T40" i="2" s="1"/>
  <c r="L41" i="20"/>
  <c r="L40" i="20"/>
  <c r="L39" i="20"/>
  <c r="L38" i="20"/>
  <c r="L37" i="20"/>
  <c r="L36" i="20"/>
  <c r="L35" i="20"/>
  <c r="L34" i="20"/>
  <c r="L33" i="20"/>
  <c r="L32" i="20"/>
  <c r="L31" i="20"/>
  <c r="L30" i="20"/>
  <c r="L29" i="20"/>
  <c r="L28" i="20"/>
  <c r="L27" i="20"/>
  <c r="T25" i="2" s="1"/>
  <c r="L26" i="20"/>
  <c r="L25" i="20"/>
  <c r="T23" i="2" s="1"/>
  <c r="L24" i="20"/>
  <c r="L23" i="20"/>
  <c r="L22" i="20"/>
  <c r="L21" i="20"/>
  <c r="L20" i="20"/>
  <c r="L19" i="20"/>
  <c r="L18" i="20"/>
  <c r="L17" i="20"/>
  <c r="L16" i="20"/>
  <c r="L15" i="20"/>
  <c r="L14" i="20"/>
  <c r="L13" i="20"/>
  <c r="T11" i="2" s="1"/>
  <c r="L12" i="20"/>
  <c r="L11" i="20"/>
  <c r="L10" i="20"/>
  <c r="L48" i="19"/>
  <c r="L47" i="19"/>
  <c r="L46" i="19"/>
  <c r="L45" i="19"/>
  <c r="S43" i="2" s="1"/>
  <c r="L44" i="19"/>
  <c r="L43" i="19"/>
  <c r="L42" i="19"/>
  <c r="S40" i="2" s="1"/>
  <c r="L41" i="19"/>
  <c r="L40" i="19"/>
  <c r="S38" i="2" s="1"/>
  <c r="L39" i="19"/>
  <c r="L38" i="19"/>
  <c r="L37" i="19"/>
  <c r="L36" i="19"/>
  <c r="L35" i="19"/>
  <c r="L34" i="19"/>
  <c r="S32" i="2" s="1"/>
  <c r="L33" i="19"/>
  <c r="L32" i="19"/>
  <c r="L31" i="19"/>
  <c r="L30" i="19"/>
  <c r="L29" i="19"/>
  <c r="L28" i="19"/>
  <c r="S26" i="2" s="1"/>
  <c r="L27" i="19"/>
  <c r="S25" i="2" s="1"/>
  <c r="L26" i="19"/>
  <c r="L25" i="19"/>
  <c r="L24" i="19"/>
  <c r="S22" i="2" s="1"/>
  <c r="L23" i="19"/>
  <c r="L22" i="19"/>
  <c r="L21" i="19"/>
  <c r="L20" i="19"/>
  <c r="L19" i="19"/>
  <c r="L18" i="19"/>
  <c r="L17" i="19"/>
  <c r="L16" i="19"/>
  <c r="S14" i="2" s="1"/>
  <c r="L15" i="19"/>
  <c r="L14" i="19"/>
  <c r="S12" i="2" s="1"/>
  <c r="L13" i="19"/>
  <c r="L12" i="19"/>
  <c r="L11" i="19"/>
  <c r="L10" i="19"/>
  <c r="L48" i="18"/>
  <c r="L47" i="18"/>
  <c r="L46" i="18"/>
  <c r="L45" i="18"/>
  <c r="L44" i="18"/>
  <c r="L43" i="18"/>
  <c r="L42" i="18"/>
  <c r="L41" i="18"/>
  <c r="L40" i="18"/>
  <c r="L39" i="18"/>
  <c r="R37" i="2" s="1"/>
  <c r="L38" i="18"/>
  <c r="L37" i="18"/>
  <c r="R35" i="2" s="1"/>
  <c r="L36" i="18"/>
  <c r="L35" i="18"/>
  <c r="L34" i="18"/>
  <c r="L33" i="18"/>
  <c r="L32" i="18"/>
  <c r="L31" i="18"/>
  <c r="L30" i="18"/>
  <c r="L29" i="18"/>
  <c r="L28" i="18"/>
  <c r="L27" i="18"/>
  <c r="R25" i="2" s="1"/>
  <c r="L26" i="18"/>
  <c r="L25" i="18"/>
  <c r="L24" i="18"/>
  <c r="L23" i="18"/>
  <c r="L22" i="18"/>
  <c r="L21" i="18"/>
  <c r="L20" i="18"/>
  <c r="L19" i="18"/>
  <c r="L18" i="18"/>
  <c r="L17" i="18"/>
  <c r="L16" i="18"/>
  <c r="R14" i="2" s="1"/>
  <c r="L15" i="18"/>
  <c r="R13" i="2" s="1"/>
  <c r="L14" i="18"/>
  <c r="L13" i="18"/>
  <c r="L12" i="18"/>
  <c r="L11" i="18"/>
  <c r="R9" i="2" s="1"/>
  <c r="L10" i="18"/>
  <c r="L48" i="17"/>
  <c r="L47" i="17"/>
  <c r="L46" i="17"/>
  <c r="L45" i="17"/>
  <c r="L44" i="17"/>
  <c r="L43" i="17"/>
  <c r="L42" i="17"/>
  <c r="L41" i="17"/>
  <c r="L40" i="17"/>
  <c r="L39" i="17"/>
  <c r="L38" i="17"/>
  <c r="L37" i="17"/>
  <c r="L36" i="17"/>
  <c r="L35" i="17"/>
  <c r="L34" i="17"/>
  <c r="L33" i="17"/>
  <c r="L32" i="17"/>
  <c r="L31" i="17"/>
  <c r="L30" i="17"/>
  <c r="Q28" i="2" s="1"/>
  <c r="L29" i="17"/>
  <c r="L28" i="17"/>
  <c r="L27" i="17"/>
  <c r="Q25" i="2" s="1"/>
  <c r="L26" i="17"/>
  <c r="Q24" i="2" s="1"/>
  <c r="L25" i="17"/>
  <c r="L24" i="17"/>
  <c r="L23" i="17"/>
  <c r="L22" i="17"/>
  <c r="L21" i="17"/>
  <c r="L20" i="17"/>
  <c r="L19" i="17"/>
  <c r="L18" i="17"/>
  <c r="L17" i="17"/>
  <c r="L16" i="17"/>
  <c r="L15" i="17"/>
  <c r="Q13" i="2" s="1"/>
  <c r="L14" i="17"/>
  <c r="L13" i="17"/>
  <c r="Q11" i="2" s="1"/>
  <c r="L12" i="17"/>
  <c r="L11" i="17"/>
  <c r="L10" i="17"/>
  <c r="L48" i="16"/>
  <c r="L47" i="16"/>
  <c r="L46" i="16"/>
  <c r="L45" i="16"/>
  <c r="L44" i="16"/>
  <c r="L43" i="16"/>
  <c r="L42" i="16"/>
  <c r="L41" i="16"/>
  <c r="L40" i="16"/>
  <c r="P38" i="2" s="1"/>
  <c r="L39" i="16"/>
  <c r="L38" i="16"/>
  <c r="P36" i="2" s="1"/>
  <c r="L37" i="16"/>
  <c r="L36" i="16"/>
  <c r="L35" i="16"/>
  <c r="P33" i="2" s="1"/>
  <c r="L34" i="16"/>
  <c r="L33" i="16"/>
  <c r="L32" i="16"/>
  <c r="L31" i="16"/>
  <c r="L30" i="16"/>
  <c r="P28" i="2" s="1"/>
  <c r="L29" i="16"/>
  <c r="P27" i="2" s="1"/>
  <c r="L28" i="16"/>
  <c r="L27" i="16"/>
  <c r="L26" i="16"/>
  <c r="L25" i="16"/>
  <c r="L24" i="16"/>
  <c r="L23" i="16"/>
  <c r="L22" i="16"/>
  <c r="L21" i="16"/>
  <c r="P19" i="2" s="1"/>
  <c r="L20" i="16"/>
  <c r="L19" i="16"/>
  <c r="L18" i="16"/>
  <c r="L17" i="16"/>
  <c r="L16" i="16"/>
  <c r="L15" i="16"/>
  <c r="L14" i="16"/>
  <c r="L13" i="16"/>
  <c r="L12" i="16"/>
  <c r="L11" i="16"/>
  <c r="L10" i="16"/>
  <c r="L48" i="15"/>
  <c r="L47" i="15"/>
  <c r="L46" i="15"/>
  <c r="L45" i="15"/>
  <c r="L44" i="15"/>
  <c r="L43" i="15"/>
  <c r="L42" i="15"/>
  <c r="O40" i="2" s="1"/>
  <c r="L41" i="15"/>
  <c r="L40" i="15"/>
  <c r="L39" i="15"/>
  <c r="L38" i="15"/>
  <c r="L37" i="15"/>
  <c r="L36" i="15"/>
  <c r="L35" i="15"/>
  <c r="L34" i="15"/>
  <c r="L33" i="15"/>
  <c r="L32" i="15"/>
  <c r="L31" i="15"/>
  <c r="L30" i="15"/>
  <c r="O28" i="2" s="1"/>
  <c r="L29" i="15"/>
  <c r="L28" i="15"/>
  <c r="L27" i="15"/>
  <c r="L26" i="15"/>
  <c r="O24" i="2" s="1"/>
  <c r="L25" i="15"/>
  <c r="L24" i="15"/>
  <c r="O22" i="2" s="1"/>
  <c r="L23" i="15"/>
  <c r="O21" i="2" s="1"/>
  <c r="L22" i="15"/>
  <c r="L21" i="15"/>
  <c r="L20" i="15"/>
  <c r="L19" i="15"/>
  <c r="L18" i="15"/>
  <c r="L17" i="15"/>
  <c r="L16" i="15"/>
  <c r="L15" i="15"/>
  <c r="L14" i="15"/>
  <c r="O12" i="2" s="1"/>
  <c r="L13" i="15"/>
  <c r="L12" i="15"/>
  <c r="L11" i="15"/>
  <c r="L10" i="15"/>
  <c r="L48" i="14"/>
  <c r="L47" i="14"/>
  <c r="L46" i="14"/>
  <c r="L45" i="14"/>
  <c r="L44" i="14"/>
  <c r="L43" i="14"/>
  <c r="L42" i="14"/>
  <c r="L41" i="14"/>
  <c r="N39" i="2" s="1"/>
  <c r="L40" i="14"/>
  <c r="N38" i="2" s="1"/>
  <c r="L39" i="14"/>
  <c r="L38" i="14"/>
  <c r="N36" i="2" s="1"/>
  <c r="L37" i="14"/>
  <c r="N35" i="2" s="1"/>
  <c r="L36" i="14"/>
  <c r="L35" i="14"/>
  <c r="L34" i="14"/>
  <c r="L33" i="14"/>
  <c r="L32" i="14"/>
  <c r="L31" i="14"/>
  <c r="L30" i="14"/>
  <c r="L29" i="14"/>
  <c r="N27" i="2" s="1"/>
  <c r="L28" i="14"/>
  <c r="L27" i="14"/>
  <c r="L26" i="14"/>
  <c r="N24" i="2" s="1"/>
  <c r="L25" i="14"/>
  <c r="L24" i="14"/>
  <c r="L23" i="14"/>
  <c r="N21" i="2" s="1"/>
  <c r="L22" i="14"/>
  <c r="L21" i="14"/>
  <c r="L20" i="14"/>
  <c r="N18" i="2" s="1"/>
  <c r="L19" i="14"/>
  <c r="L18" i="14"/>
  <c r="L17" i="14"/>
  <c r="L16" i="14"/>
  <c r="L15" i="14"/>
  <c r="L14" i="14"/>
  <c r="L13" i="14"/>
  <c r="L12" i="14"/>
  <c r="L11" i="14"/>
  <c r="L10" i="14"/>
  <c r="N8" i="2" s="1"/>
  <c r="L48" i="13"/>
  <c r="L47" i="13"/>
  <c r="L46" i="13"/>
  <c r="L45" i="13"/>
  <c r="M43" i="2" s="1"/>
  <c r="L44" i="13"/>
  <c r="L43" i="13"/>
  <c r="L42" i="13"/>
  <c r="M40" i="2" s="1"/>
  <c r="L41" i="13"/>
  <c r="L40" i="13"/>
  <c r="L39" i="13"/>
  <c r="L38" i="13"/>
  <c r="L37" i="13"/>
  <c r="L36" i="13"/>
  <c r="M34" i="2" s="1"/>
  <c r="L35" i="13"/>
  <c r="L34" i="13"/>
  <c r="L33" i="13"/>
  <c r="L32" i="13"/>
  <c r="L31" i="13"/>
  <c r="L30" i="13"/>
  <c r="L29" i="13"/>
  <c r="L28" i="13"/>
  <c r="L27" i="13"/>
  <c r="M25" i="2" s="1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M10" i="2" s="1"/>
  <c r="L11" i="13"/>
  <c r="L10" i="13"/>
  <c r="L48" i="12"/>
  <c r="L47" i="12"/>
  <c r="L46" i="12"/>
  <c r="L45" i="12"/>
  <c r="L44" i="12"/>
  <c r="L43" i="12"/>
  <c r="L42" i="12"/>
  <c r="L40" i="2" s="1"/>
  <c r="L41" i="12"/>
  <c r="L40" i="12"/>
  <c r="L39" i="12"/>
  <c r="L38" i="12"/>
  <c r="L37" i="12"/>
  <c r="L35" i="2" s="1"/>
  <c r="L36" i="12"/>
  <c r="L35" i="12"/>
  <c r="L34" i="12"/>
  <c r="L33" i="12"/>
  <c r="L32" i="12"/>
  <c r="L31" i="12"/>
  <c r="L30" i="12"/>
  <c r="L29" i="12"/>
  <c r="L28" i="12"/>
  <c r="L26" i="2" s="1"/>
  <c r="L27" i="12"/>
  <c r="L26" i="12"/>
  <c r="L25" i="12"/>
  <c r="L23" i="2" s="1"/>
  <c r="L24" i="12"/>
  <c r="L23" i="12"/>
  <c r="L21" i="2" s="1"/>
  <c r="L22" i="12"/>
  <c r="L21" i="12"/>
  <c r="L20" i="12"/>
  <c r="L19" i="12"/>
  <c r="L18" i="12"/>
  <c r="L17" i="12"/>
  <c r="L16" i="12"/>
  <c r="L14" i="2" s="1"/>
  <c r="L15" i="12"/>
  <c r="L14" i="12"/>
  <c r="L13" i="12"/>
  <c r="L12" i="12"/>
  <c r="L11" i="12"/>
  <c r="L10" i="12"/>
  <c r="L8" i="2" s="1"/>
  <c r="L48" i="11"/>
  <c r="L47" i="11"/>
  <c r="L46" i="11"/>
  <c r="L45" i="11"/>
  <c r="L44" i="11"/>
  <c r="L43" i="11"/>
  <c r="L42" i="11"/>
  <c r="L41" i="11"/>
  <c r="K39" i="2" s="1"/>
  <c r="L40" i="11"/>
  <c r="L39" i="11"/>
  <c r="L38" i="11"/>
  <c r="L37" i="11"/>
  <c r="L36" i="11"/>
  <c r="L35" i="11"/>
  <c r="L34" i="11"/>
  <c r="L33" i="11"/>
  <c r="L32" i="11"/>
  <c r="L31" i="11"/>
  <c r="K29" i="2" s="1"/>
  <c r="L30" i="11"/>
  <c r="L29" i="11"/>
  <c r="K27" i="2" s="1"/>
  <c r="L28" i="11"/>
  <c r="K26" i="2" s="1"/>
  <c r="L27" i="11"/>
  <c r="L26" i="11"/>
  <c r="L25" i="11"/>
  <c r="L24" i="11"/>
  <c r="L23" i="11"/>
  <c r="L22" i="11"/>
  <c r="L21" i="11"/>
  <c r="L20" i="11"/>
  <c r="L19" i="11"/>
  <c r="L18" i="11"/>
  <c r="K16" i="2" s="1"/>
  <c r="L17" i="11"/>
  <c r="L16" i="11"/>
  <c r="L15" i="11"/>
  <c r="K13" i="2" s="1"/>
  <c r="L14" i="11"/>
  <c r="K12" i="2" s="1"/>
  <c r="L13" i="11"/>
  <c r="L12" i="11"/>
  <c r="L11" i="11"/>
  <c r="L10" i="11"/>
  <c r="L48" i="10"/>
  <c r="L47" i="10"/>
  <c r="L46" i="10"/>
  <c r="L45" i="10"/>
  <c r="L44" i="10"/>
  <c r="J42" i="2" s="1"/>
  <c r="L43" i="10"/>
  <c r="L42" i="10"/>
  <c r="L41" i="10"/>
  <c r="J39" i="2" s="1"/>
  <c r="L40" i="10"/>
  <c r="L39" i="10"/>
  <c r="L38" i="10"/>
  <c r="J36" i="2" s="1"/>
  <c r="L37" i="10"/>
  <c r="L36" i="10"/>
  <c r="L35" i="10"/>
  <c r="J33" i="2" s="1"/>
  <c r="L34" i="10"/>
  <c r="L33" i="10"/>
  <c r="L32" i="10"/>
  <c r="L31" i="10"/>
  <c r="L30" i="10"/>
  <c r="L29" i="10"/>
  <c r="L28" i="10"/>
  <c r="L27" i="10"/>
  <c r="J25" i="2" s="1"/>
  <c r="L26" i="10"/>
  <c r="J24" i="2" s="1"/>
  <c r="L25" i="10"/>
  <c r="J23" i="2" s="1"/>
  <c r="L24" i="10"/>
  <c r="L23" i="10"/>
  <c r="J21" i="2" s="1"/>
  <c r="L22" i="10"/>
  <c r="L21" i="10"/>
  <c r="L20" i="10"/>
  <c r="L19" i="10"/>
  <c r="L18" i="10"/>
  <c r="L17" i="10"/>
  <c r="L16" i="10"/>
  <c r="L15" i="10"/>
  <c r="L14" i="10"/>
  <c r="L13" i="10"/>
  <c r="J11" i="2" s="1"/>
  <c r="L12" i="10"/>
  <c r="L11" i="10"/>
  <c r="L10" i="10"/>
  <c r="L48" i="9"/>
  <c r="I46" i="2" s="1"/>
  <c r="L47" i="9"/>
  <c r="L46" i="9"/>
  <c r="L45" i="9"/>
  <c r="L44" i="9"/>
  <c r="L43" i="9"/>
  <c r="L42" i="9"/>
  <c r="I40" i="2" s="1"/>
  <c r="L41" i="9"/>
  <c r="L40" i="9"/>
  <c r="L39" i="9"/>
  <c r="L38" i="9"/>
  <c r="I36" i="2" s="1"/>
  <c r="L37" i="9"/>
  <c r="L36" i="9"/>
  <c r="L35" i="9"/>
  <c r="L34" i="9"/>
  <c r="L33" i="9"/>
  <c r="L32" i="9"/>
  <c r="L31" i="9"/>
  <c r="L30" i="9"/>
  <c r="I28" i="2" s="1"/>
  <c r="L29" i="9"/>
  <c r="L28" i="9"/>
  <c r="L27" i="9"/>
  <c r="L26" i="9"/>
  <c r="L25" i="9"/>
  <c r="L24" i="9"/>
  <c r="L23" i="9"/>
  <c r="L22" i="9"/>
  <c r="L21" i="9"/>
  <c r="L20" i="9"/>
  <c r="L19" i="9"/>
  <c r="L18" i="9"/>
  <c r="I16" i="2" s="1"/>
  <c r="L17" i="9"/>
  <c r="L16" i="9"/>
  <c r="L15" i="9"/>
  <c r="L14" i="9"/>
  <c r="L13" i="9"/>
  <c r="L12" i="9"/>
  <c r="I10" i="2" s="1"/>
  <c r="L11" i="9"/>
  <c r="I9" i="2" s="1"/>
  <c r="L10" i="9"/>
  <c r="L48" i="8"/>
  <c r="L47" i="8"/>
  <c r="L46" i="8"/>
  <c r="L45" i="8"/>
  <c r="H43" i="2" s="1"/>
  <c r="L44" i="8"/>
  <c r="H42" i="2" s="1"/>
  <c r="L43" i="8"/>
  <c r="L42" i="8"/>
  <c r="L41" i="8"/>
  <c r="L40" i="8"/>
  <c r="L39" i="8"/>
  <c r="L38" i="8"/>
  <c r="H36" i="2" s="1"/>
  <c r="L37" i="8"/>
  <c r="H35" i="2" s="1"/>
  <c r="L36" i="8"/>
  <c r="L35" i="8"/>
  <c r="L34" i="8"/>
  <c r="L33" i="8"/>
  <c r="L32" i="8"/>
  <c r="L31" i="8"/>
  <c r="L30" i="8"/>
  <c r="L29" i="8"/>
  <c r="L28" i="8"/>
  <c r="L27" i="8"/>
  <c r="L26" i="8"/>
  <c r="H24" i="2" s="1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H9" i="2" s="1"/>
  <c r="L10" i="8"/>
  <c r="L48" i="7"/>
  <c r="L47" i="7"/>
  <c r="L46" i="7"/>
  <c r="G44" i="2" s="1"/>
  <c r="L45" i="7"/>
  <c r="L44" i="7"/>
  <c r="L43" i="7"/>
  <c r="L42" i="7"/>
  <c r="L41" i="7"/>
  <c r="L40" i="7"/>
  <c r="L39" i="7"/>
  <c r="L38" i="7"/>
  <c r="G36" i="2" s="1"/>
  <c r="L37" i="7"/>
  <c r="L36" i="7"/>
  <c r="L35" i="7"/>
  <c r="L34" i="7"/>
  <c r="L33" i="7"/>
  <c r="L32" i="7"/>
  <c r="L31" i="7"/>
  <c r="L30" i="7"/>
  <c r="L29" i="7"/>
  <c r="L28" i="7"/>
  <c r="L27" i="7"/>
  <c r="L26" i="7"/>
  <c r="G24" i="2" s="1"/>
  <c r="L25" i="7"/>
  <c r="L24" i="7"/>
  <c r="G22" i="2" s="1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48" i="6"/>
  <c r="L47" i="6"/>
  <c r="L46" i="6"/>
  <c r="L45" i="6"/>
  <c r="L44" i="6"/>
  <c r="L43" i="6"/>
  <c r="L42" i="6"/>
  <c r="L41" i="6"/>
  <c r="F39" i="2" s="1"/>
  <c r="L40" i="6"/>
  <c r="L39" i="6"/>
  <c r="L38" i="6"/>
  <c r="L37" i="6"/>
  <c r="L36" i="6"/>
  <c r="L35" i="6"/>
  <c r="L34" i="6"/>
  <c r="L33" i="6"/>
  <c r="L32" i="6"/>
  <c r="L31" i="6"/>
  <c r="L30" i="6"/>
  <c r="L29" i="6"/>
  <c r="F27" i="2" s="1"/>
  <c r="L28" i="6"/>
  <c r="L27" i="6"/>
  <c r="L26" i="6"/>
  <c r="L25" i="6"/>
  <c r="F23" i="2" s="1"/>
  <c r="L24" i="6"/>
  <c r="L23" i="6"/>
  <c r="F21" i="2" s="1"/>
  <c r="L22" i="6"/>
  <c r="L21" i="6"/>
  <c r="L20" i="6"/>
  <c r="L19" i="6"/>
  <c r="L18" i="6"/>
  <c r="L17" i="6"/>
  <c r="L16" i="6"/>
  <c r="F14" i="2" s="1"/>
  <c r="L15" i="6"/>
  <c r="L14" i="6"/>
  <c r="F12" i="2" s="1"/>
  <c r="L13" i="6"/>
  <c r="F11" i="2" s="1"/>
  <c r="L12" i="6"/>
  <c r="L11" i="6"/>
  <c r="L10" i="6"/>
  <c r="L48" i="5"/>
  <c r="L47" i="5"/>
  <c r="L46" i="5"/>
  <c r="L45" i="5"/>
  <c r="L44" i="5"/>
  <c r="E42" i="2" s="1"/>
  <c r="L43" i="5"/>
  <c r="L42" i="5"/>
  <c r="E40" i="2" s="1"/>
  <c r="L41" i="5"/>
  <c r="L40" i="5"/>
  <c r="E38" i="2" s="1"/>
  <c r="L39" i="5"/>
  <c r="E37" i="2" s="1"/>
  <c r="L38" i="5"/>
  <c r="L37" i="5"/>
  <c r="E35" i="2" s="1"/>
  <c r="L36" i="5"/>
  <c r="L35" i="5"/>
  <c r="L34" i="5"/>
  <c r="L33" i="5"/>
  <c r="L32" i="5"/>
  <c r="L31" i="5"/>
  <c r="L30" i="5"/>
  <c r="L29" i="5"/>
  <c r="L28" i="5"/>
  <c r="L27" i="5"/>
  <c r="L26" i="5"/>
  <c r="E24" i="2" s="1"/>
  <c r="L25" i="5"/>
  <c r="L24" i="5"/>
  <c r="L23" i="5"/>
  <c r="L22" i="5"/>
  <c r="L21" i="5"/>
  <c r="L20" i="5"/>
  <c r="L19" i="5"/>
  <c r="L18" i="5"/>
  <c r="L17" i="5"/>
  <c r="L16" i="5"/>
  <c r="E14" i="2" s="1"/>
  <c r="L15" i="5"/>
  <c r="L14" i="5"/>
  <c r="L13" i="5"/>
  <c r="E11" i="2" s="1"/>
  <c r="L12" i="5"/>
  <c r="L11" i="5"/>
  <c r="L10" i="5"/>
  <c r="AZ7" i="2"/>
  <c r="BA7" i="2"/>
  <c r="F48" i="53"/>
  <c r="F47" i="53"/>
  <c r="BA45" i="2" s="1"/>
  <c r="F46" i="53"/>
  <c r="F45" i="53"/>
  <c r="F44" i="53"/>
  <c r="BA42" i="2" s="1"/>
  <c r="F43" i="53"/>
  <c r="BA41" i="2" s="1"/>
  <c r="F42" i="53"/>
  <c r="BA40" i="2" s="1"/>
  <c r="F41" i="53"/>
  <c r="F40" i="53"/>
  <c r="F39" i="53"/>
  <c r="F38" i="53"/>
  <c r="F37" i="53"/>
  <c r="F36" i="53"/>
  <c r="F35" i="53"/>
  <c r="F34" i="53"/>
  <c r="BA32" i="2" s="1"/>
  <c r="F33" i="53"/>
  <c r="F32" i="53"/>
  <c r="BA30" i="2" s="1"/>
  <c r="F31" i="53"/>
  <c r="F30" i="53"/>
  <c r="F29" i="53"/>
  <c r="F28" i="53"/>
  <c r="F27" i="53"/>
  <c r="F26" i="53"/>
  <c r="F25" i="53"/>
  <c r="F24" i="53"/>
  <c r="F23" i="53"/>
  <c r="F22" i="53"/>
  <c r="BA20" i="2" s="1"/>
  <c r="F21" i="53"/>
  <c r="BA18" i="2"/>
  <c r="F20" i="53"/>
  <c r="F19" i="53"/>
  <c r="BA16" i="2"/>
  <c r="F18" i="53"/>
  <c r="F17" i="53"/>
  <c r="BA15" i="2" s="1"/>
  <c r="F16" i="53"/>
  <c r="BA14" i="2" s="1"/>
  <c r="F15" i="53"/>
  <c r="F14" i="53"/>
  <c r="F13" i="53"/>
  <c r="F12" i="53"/>
  <c r="F11" i="53"/>
  <c r="F10" i="53"/>
  <c r="K8" i="53"/>
  <c r="J8" i="53"/>
  <c r="I8" i="53"/>
  <c r="H8" i="53"/>
  <c r="G8" i="53"/>
  <c r="F48" i="52"/>
  <c r="F47" i="52"/>
  <c r="AZ45" i="2" s="1"/>
  <c r="F46" i="52"/>
  <c r="F45" i="52"/>
  <c r="AZ43" i="2" s="1"/>
  <c r="F44" i="52"/>
  <c r="F43" i="52"/>
  <c r="AZ41" i="2" s="1"/>
  <c r="AZ40" i="2"/>
  <c r="F42" i="52"/>
  <c r="F41" i="52"/>
  <c r="F40" i="52"/>
  <c r="F39" i="52"/>
  <c r="F38" i="52"/>
  <c r="F37" i="52"/>
  <c r="F36" i="52"/>
  <c r="F35" i="52"/>
  <c r="F34" i="52"/>
  <c r="AZ32" i="2" s="1"/>
  <c r="F33" i="52"/>
  <c r="F32" i="52"/>
  <c r="AZ29" i="2"/>
  <c r="F31" i="52"/>
  <c r="F30" i="52"/>
  <c r="F29" i="52"/>
  <c r="F28" i="52"/>
  <c r="F27" i="52"/>
  <c r="F26" i="52"/>
  <c r="F25" i="52"/>
  <c r="F24" i="52"/>
  <c r="F23" i="52"/>
  <c r="F22" i="52"/>
  <c r="AZ20" i="2" s="1"/>
  <c r="F21" i="52"/>
  <c r="AZ19" i="2" s="1"/>
  <c r="AZ18" i="2"/>
  <c r="F20" i="52"/>
  <c r="F19" i="52"/>
  <c r="F18" i="52"/>
  <c r="AZ16" i="2" s="1"/>
  <c r="F17" i="52"/>
  <c r="AZ14" i="2"/>
  <c r="F16" i="52"/>
  <c r="F15" i="52"/>
  <c r="F14" i="52"/>
  <c r="F13" i="52"/>
  <c r="F12" i="52"/>
  <c r="F11" i="52"/>
  <c r="F10" i="52"/>
  <c r="K8" i="52"/>
  <c r="J8" i="52"/>
  <c r="I8" i="52"/>
  <c r="H8" i="52"/>
  <c r="G8" i="52"/>
  <c r="F48" i="51"/>
  <c r="AY46" i="2" s="1"/>
  <c r="F47" i="51"/>
  <c r="AY45" i="2" s="1"/>
  <c r="F46" i="51"/>
  <c r="AY44" i="2" s="1"/>
  <c r="F45" i="51"/>
  <c r="AY43" i="2" s="1"/>
  <c r="F44" i="51"/>
  <c r="AY42" i="2" s="1"/>
  <c r="F43" i="51"/>
  <c r="AY41" i="2" s="1"/>
  <c r="F42" i="51"/>
  <c r="F41" i="51"/>
  <c r="AY39" i="2" s="1"/>
  <c r="F40" i="51"/>
  <c r="AY38" i="2" s="1"/>
  <c r="AY37" i="2"/>
  <c r="F39" i="51"/>
  <c r="F38" i="51"/>
  <c r="F37" i="51"/>
  <c r="AY35" i="2" s="1"/>
  <c r="F36" i="51"/>
  <c r="AY34" i="2" s="1"/>
  <c r="F35" i="51"/>
  <c r="F34" i="51"/>
  <c r="AY32" i="2" s="1"/>
  <c r="F33" i="51"/>
  <c r="AY31" i="2" s="1"/>
  <c r="F32" i="51"/>
  <c r="AY30" i="2" s="1"/>
  <c r="F31" i="51"/>
  <c r="F30" i="51"/>
  <c r="AY28" i="2" s="1"/>
  <c r="AY27" i="2"/>
  <c r="F29" i="51"/>
  <c r="F28" i="51"/>
  <c r="AY26" i="2" s="1"/>
  <c r="F27" i="51"/>
  <c r="AY25" i="2" s="1"/>
  <c r="F26" i="51"/>
  <c r="F25" i="51"/>
  <c r="F24" i="51"/>
  <c r="F23" i="51"/>
  <c r="AY21" i="2" s="1"/>
  <c r="F22" i="51"/>
  <c r="AY20" i="2" s="1"/>
  <c r="F21" i="51"/>
  <c r="AY18" i="2"/>
  <c r="F20" i="51"/>
  <c r="F19" i="51"/>
  <c r="F18" i="51"/>
  <c r="F17" i="51"/>
  <c r="AY15" i="2" s="1"/>
  <c r="F16" i="51"/>
  <c r="AY14" i="2" s="1"/>
  <c r="F15" i="51"/>
  <c r="F14" i="51"/>
  <c r="F13" i="51"/>
  <c r="F12" i="51"/>
  <c r="F11" i="51"/>
  <c r="F10" i="51"/>
  <c r="K8" i="51"/>
  <c r="J8" i="51"/>
  <c r="I8" i="51"/>
  <c r="H8" i="51"/>
  <c r="G8" i="51"/>
  <c r="F48" i="50"/>
  <c r="AX46" i="2" s="1"/>
  <c r="F47" i="50"/>
  <c r="F46" i="50"/>
  <c r="AX44" i="2" s="1"/>
  <c r="F45" i="50"/>
  <c r="F44" i="50"/>
  <c r="AX42" i="2" s="1"/>
  <c r="F43" i="50"/>
  <c r="F42" i="50"/>
  <c r="AX40" i="2" s="1"/>
  <c r="F41" i="50"/>
  <c r="F40" i="50"/>
  <c r="F39" i="50"/>
  <c r="F38" i="50"/>
  <c r="F37" i="50"/>
  <c r="AX35" i="2" s="1"/>
  <c r="F36" i="50"/>
  <c r="F35" i="50"/>
  <c r="AX33" i="2" s="1"/>
  <c r="F34" i="50"/>
  <c r="F33" i="50"/>
  <c r="F32" i="50"/>
  <c r="F31" i="50"/>
  <c r="F30" i="50"/>
  <c r="AX28" i="2" s="1"/>
  <c r="F29" i="50"/>
  <c r="F28" i="50"/>
  <c r="F27" i="50"/>
  <c r="F26" i="50"/>
  <c r="AX24" i="2" s="1"/>
  <c r="AX23" i="2"/>
  <c r="F25" i="50"/>
  <c r="F24" i="50"/>
  <c r="AX22" i="2" s="1"/>
  <c r="F23" i="50"/>
  <c r="F22" i="50"/>
  <c r="F21" i="50"/>
  <c r="F20" i="50"/>
  <c r="AX18" i="2" s="1"/>
  <c r="F19" i="50"/>
  <c r="AX17" i="2" s="1"/>
  <c r="F18" i="50"/>
  <c r="F17" i="50"/>
  <c r="AX15" i="2" s="1"/>
  <c r="AX14" i="2"/>
  <c r="F16" i="50"/>
  <c r="F15" i="50"/>
  <c r="F14" i="50"/>
  <c r="F13" i="50"/>
  <c r="F12" i="50"/>
  <c r="AX10" i="2" s="1"/>
  <c r="F11" i="50"/>
  <c r="F10" i="50"/>
  <c r="K8" i="50"/>
  <c r="J8" i="50"/>
  <c r="I8" i="50"/>
  <c r="H8" i="50"/>
  <c r="G8" i="50"/>
  <c r="F48" i="49"/>
  <c r="AW45" i="2"/>
  <c r="F47" i="49"/>
  <c r="F46" i="49"/>
  <c r="F45" i="49"/>
  <c r="AW43" i="2" s="1"/>
  <c r="F44" i="49"/>
  <c r="AW41" i="2"/>
  <c r="F43" i="49"/>
  <c r="F42" i="49"/>
  <c r="F41" i="49"/>
  <c r="F40" i="49"/>
  <c r="F39" i="49"/>
  <c r="AW36" i="2"/>
  <c r="F38" i="49"/>
  <c r="F37" i="49"/>
  <c r="F36" i="49"/>
  <c r="F35" i="49"/>
  <c r="F34" i="49"/>
  <c r="AW32" i="2" s="1"/>
  <c r="AW31" i="2"/>
  <c r="F33" i="49"/>
  <c r="AW30" i="2"/>
  <c r="F32" i="49"/>
  <c r="F31" i="49"/>
  <c r="F30" i="49"/>
  <c r="F29" i="49"/>
  <c r="F28" i="49"/>
  <c r="AW26" i="2" s="1"/>
  <c r="F27" i="49"/>
  <c r="F26" i="49"/>
  <c r="F25" i="49"/>
  <c r="F24" i="49"/>
  <c r="F23" i="49"/>
  <c r="F22" i="49"/>
  <c r="F21" i="49"/>
  <c r="AW19" i="2" s="1"/>
  <c r="F20" i="49"/>
  <c r="F19" i="49"/>
  <c r="AW17" i="2" s="1"/>
  <c r="F18" i="49"/>
  <c r="AW16" i="2" s="1"/>
  <c r="AW15" i="2"/>
  <c r="F17" i="49"/>
  <c r="F16" i="49"/>
  <c r="AW14" i="2" s="1"/>
  <c r="F15" i="49"/>
  <c r="F14" i="49"/>
  <c r="F13" i="49"/>
  <c r="F12" i="49"/>
  <c r="F11" i="49"/>
  <c r="F10" i="49"/>
  <c r="K8" i="49"/>
  <c r="J8" i="49"/>
  <c r="I8" i="49"/>
  <c r="H8" i="49"/>
  <c r="G8" i="49"/>
  <c r="F48" i="48"/>
  <c r="F47" i="48"/>
  <c r="F46" i="48"/>
  <c r="F45" i="48"/>
  <c r="AV43" i="2" s="1"/>
  <c r="F44" i="48"/>
  <c r="F43" i="48"/>
  <c r="F42" i="48"/>
  <c r="F41" i="48"/>
  <c r="F40" i="48"/>
  <c r="F39" i="48"/>
  <c r="F38" i="48"/>
  <c r="F37" i="48"/>
  <c r="F36" i="48"/>
  <c r="F35" i="48"/>
  <c r="AV33" i="2" s="1"/>
  <c r="F34" i="48"/>
  <c r="F33" i="48"/>
  <c r="AV31" i="2" s="1"/>
  <c r="AV30" i="2"/>
  <c r="F32" i="48"/>
  <c r="F31" i="48"/>
  <c r="F30" i="48"/>
  <c r="F29" i="48"/>
  <c r="F28" i="48"/>
  <c r="F27" i="48"/>
  <c r="F26" i="48"/>
  <c r="F25" i="48"/>
  <c r="AV23" i="2" s="1"/>
  <c r="F24" i="48"/>
  <c r="F23" i="48"/>
  <c r="AV21" i="2" s="1"/>
  <c r="F22" i="48"/>
  <c r="F21" i="48"/>
  <c r="F20" i="48"/>
  <c r="AV18" i="2" s="1"/>
  <c r="AV17" i="2"/>
  <c r="F19" i="48"/>
  <c r="F18" i="48"/>
  <c r="AV16" i="2" s="1"/>
  <c r="AV15" i="2"/>
  <c r="F17" i="48"/>
  <c r="F16" i="48"/>
  <c r="F15" i="48"/>
  <c r="F14" i="48"/>
  <c r="F13" i="48"/>
  <c r="F12" i="48"/>
  <c r="F11" i="48"/>
  <c r="H50" i="48" s="1"/>
  <c r="AV8" i="2"/>
  <c r="F10" i="48"/>
  <c r="K8" i="48"/>
  <c r="J8" i="48"/>
  <c r="I8" i="48"/>
  <c r="H8" i="48"/>
  <c r="G8" i="48"/>
  <c r="F48" i="47"/>
  <c r="F47" i="47"/>
  <c r="F46" i="47"/>
  <c r="F45" i="47"/>
  <c r="AU43" i="2" s="1"/>
  <c r="F44" i="47"/>
  <c r="F43" i="47"/>
  <c r="AU41" i="2" s="1"/>
  <c r="F42" i="47"/>
  <c r="F41" i="47"/>
  <c r="AU39" i="2" s="1"/>
  <c r="F40" i="47"/>
  <c r="AU38" i="2" s="1"/>
  <c r="F39" i="47"/>
  <c r="F38" i="47"/>
  <c r="F37" i="47"/>
  <c r="F36" i="47"/>
  <c r="AU34" i="2" s="1"/>
  <c r="F35" i="47"/>
  <c r="AU33" i="2" s="1"/>
  <c r="F34" i="47"/>
  <c r="F33" i="47"/>
  <c r="AU31" i="2" s="1"/>
  <c r="F32" i="47"/>
  <c r="AU30" i="2" s="1"/>
  <c r="F31" i="47"/>
  <c r="AU29" i="2" s="1"/>
  <c r="F30" i="47"/>
  <c r="F29" i="47"/>
  <c r="AU27" i="2" s="1"/>
  <c r="F28" i="47"/>
  <c r="AU26" i="2" s="1"/>
  <c r="F27" i="47"/>
  <c r="F26" i="47"/>
  <c r="F25" i="47"/>
  <c r="F24" i="47"/>
  <c r="F23" i="47"/>
  <c r="AU21" i="2" s="1"/>
  <c r="AU20" i="2"/>
  <c r="F22" i="47"/>
  <c r="F21" i="47"/>
  <c r="F20" i="47"/>
  <c r="F19" i="47"/>
  <c r="AU17" i="2" s="1"/>
  <c r="F18" i="47"/>
  <c r="AU16" i="2" s="1"/>
  <c r="F17" i="47"/>
  <c r="AU15" i="2" s="1"/>
  <c r="F16" i="47"/>
  <c r="AU14" i="2" s="1"/>
  <c r="F15" i="47"/>
  <c r="F14" i="47"/>
  <c r="F13" i="47"/>
  <c r="L12" i="47"/>
  <c r="AU10" i="2" s="1"/>
  <c r="F12" i="47"/>
  <c r="F11" i="47"/>
  <c r="L10" i="47"/>
  <c r="AU8" i="2" s="1"/>
  <c r="F10" i="47"/>
  <c r="K8" i="47"/>
  <c r="J8" i="47"/>
  <c r="I8" i="47"/>
  <c r="H8" i="47"/>
  <c r="G8" i="47"/>
  <c r="F48" i="46"/>
  <c r="F47" i="46"/>
  <c r="F46" i="46"/>
  <c r="AT44" i="2" s="1"/>
  <c r="F45" i="46"/>
  <c r="AT43" i="2" s="1"/>
  <c r="F44" i="46"/>
  <c r="F43" i="46"/>
  <c r="F42" i="46"/>
  <c r="AT40" i="2" s="1"/>
  <c r="F41" i="46"/>
  <c r="AT39" i="2" s="1"/>
  <c r="AT38" i="2"/>
  <c r="F40" i="46"/>
  <c r="F39" i="46"/>
  <c r="F38" i="46"/>
  <c r="F37" i="46"/>
  <c r="F36" i="46"/>
  <c r="AT34" i="2" s="1"/>
  <c r="AT33" i="2"/>
  <c r="F35" i="46"/>
  <c r="AT32" i="2"/>
  <c r="F34" i="46"/>
  <c r="F33" i="46"/>
  <c r="F32" i="46"/>
  <c r="AT30" i="2" s="1"/>
  <c r="AT29" i="2"/>
  <c r="F31" i="46"/>
  <c r="F30" i="46"/>
  <c r="F29" i="46"/>
  <c r="F28" i="46"/>
  <c r="F27" i="46"/>
  <c r="F26" i="46"/>
  <c r="F25" i="46"/>
  <c r="F24" i="46"/>
  <c r="F23" i="46"/>
  <c r="AT21" i="2" s="1"/>
  <c r="F22" i="46"/>
  <c r="F21" i="46"/>
  <c r="F20" i="46"/>
  <c r="F19" i="46"/>
  <c r="AT17" i="2" s="1"/>
  <c r="F18" i="46"/>
  <c r="AT16" i="2" s="1"/>
  <c r="F17" i="46"/>
  <c r="F16" i="46"/>
  <c r="F15" i="46"/>
  <c r="F14" i="46"/>
  <c r="F13" i="46"/>
  <c r="F12" i="46"/>
  <c r="F11" i="46"/>
  <c r="F10" i="46"/>
  <c r="K8" i="46"/>
  <c r="J8" i="46"/>
  <c r="I8" i="46"/>
  <c r="H8" i="46"/>
  <c r="G8" i="46"/>
  <c r="J50" i="45"/>
  <c r="I50" i="45"/>
  <c r="H50" i="45"/>
  <c r="AS46" i="2"/>
  <c r="F48" i="45"/>
  <c r="F47" i="45"/>
  <c r="F46" i="45"/>
  <c r="F45" i="45"/>
  <c r="AS43" i="2" s="1"/>
  <c r="F44" i="45"/>
  <c r="F43" i="45"/>
  <c r="F42" i="45"/>
  <c r="F41" i="45"/>
  <c r="F40" i="45"/>
  <c r="AS38" i="2" s="1"/>
  <c r="F39" i="45"/>
  <c r="F38" i="45"/>
  <c r="F37" i="45"/>
  <c r="AS35" i="2" s="1"/>
  <c r="F36" i="45"/>
  <c r="AS34" i="2" s="1"/>
  <c r="AS33" i="2"/>
  <c r="F35" i="45"/>
  <c r="F34" i="45"/>
  <c r="F33" i="45"/>
  <c r="AS31" i="2" s="1"/>
  <c r="F32" i="45"/>
  <c r="AS30" i="2" s="1"/>
  <c r="F31" i="45"/>
  <c r="AS29" i="2" s="1"/>
  <c r="F30" i="45"/>
  <c r="F29" i="45"/>
  <c r="F28" i="45"/>
  <c r="F27" i="45"/>
  <c r="F26" i="45"/>
  <c r="F25" i="45"/>
  <c r="F24" i="45"/>
  <c r="F23" i="45"/>
  <c r="AS21" i="2" s="1"/>
  <c r="AS20" i="2"/>
  <c r="F22" i="45"/>
  <c r="F21" i="45"/>
  <c r="F20" i="45"/>
  <c r="F19" i="45"/>
  <c r="AS17" i="2" s="1"/>
  <c r="F18" i="45"/>
  <c r="AS15" i="2"/>
  <c r="F17" i="45"/>
  <c r="F16" i="45"/>
  <c r="F15" i="45"/>
  <c r="F14" i="45"/>
  <c r="F13" i="45"/>
  <c r="AS10" i="2"/>
  <c r="F12" i="45"/>
  <c r="F11" i="45"/>
  <c r="F10" i="45"/>
  <c r="K8" i="45"/>
  <c r="J8" i="45"/>
  <c r="I8" i="45"/>
  <c r="H8" i="45"/>
  <c r="G8" i="45"/>
  <c r="AR46" i="2"/>
  <c r="F48" i="44"/>
  <c r="F47" i="44"/>
  <c r="F46" i="44"/>
  <c r="F45" i="44"/>
  <c r="AR43" i="2" s="1"/>
  <c r="F44" i="44"/>
  <c r="AR42" i="2" s="1"/>
  <c r="F43" i="44"/>
  <c r="AR41" i="2" s="1"/>
  <c r="F42" i="44"/>
  <c r="F41" i="44"/>
  <c r="F40" i="44"/>
  <c r="F39" i="44"/>
  <c r="F38" i="44"/>
  <c r="F37" i="44"/>
  <c r="F36" i="44"/>
  <c r="F35" i="44"/>
  <c r="F34" i="44"/>
  <c r="AR31" i="2"/>
  <c r="F33" i="44"/>
  <c r="F32" i="44"/>
  <c r="F31" i="44"/>
  <c r="F30" i="44"/>
  <c r="F29" i="44"/>
  <c r="F28" i="44"/>
  <c r="F27" i="44"/>
  <c r="F26" i="44"/>
  <c r="F25" i="44"/>
  <c r="F24" i="44"/>
  <c r="F23" i="44"/>
  <c r="F22" i="44"/>
  <c r="F21" i="44"/>
  <c r="AR19" i="2" s="1"/>
  <c r="AR18" i="2"/>
  <c r="F20" i="44"/>
  <c r="F19" i="44"/>
  <c r="F18" i="44"/>
  <c r="AR16" i="2" s="1"/>
  <c r="F17" i="44"/>
  <c r="F16" i="44"/>
  <c r="F15" i="44"/>
  <c r="F14" i="44"/>
  <c r="F13" i="44"/>
  <c r="F12" i="44"/>
  <c r="F11" i="44"/>
  <c r="F10" i="44"/>
  <c r="K8" i="44"/>
  <c r="J8" i="44"/>
  <c r="I8" i="44"/>
  <c r="H8" i="44"/>
  <c r="G8" i="44"/>
  <c r="J50" i="43"/>
  <c r="I50" i="43"/>
  <c r="AQ46" i="2"/>
  <c r="F48" i="43"/>
  <c r="F47" i="43"/>
  <c r="AQ45" i="2" s="1"/>
  <c r="F46" i="43"/>
  <c r="F45" i="43"/>
  <c r="F44" i="43"/>
  <c r="F43" i="43"/>
  <c r="AQ41" i="2" s="1"/>
  <c r="F42" i="43"/>
  <c r="F41" i="43"/>
  <c r="AQ38" i="2"/>
  <c r="F40" i="43"/>
  <c r="F39" i="43"/>
  <c r="F38" i="43"/>
  <c r="F37" i="43"/>
  <c r="AQ35" i="2" s="1"/>
  <c r="F36" i="43"/>
  <c r="F35" i="43"/>
  <c r="F34" i="43"/>
  <c r="F33" i="43"/>
  <c r="AQ31" i="2" s="1"/>
  <c r="F32" i="43"/>
  <c r="F31" i="43"/>
  <c r="F30" i="43"/>
  <c r="AQ28" i="2" s="1"/>
  <c r="AQ27" i="2"/>
  <c r="F29" i="43"/>
  <c r="F28" i="43"/>
  <c r="F27" i="43"/>
  <c r="F26" i="43"/>
  <c r="F25" i="43"/>
  <c r="F24" i="43"/>
  <c r="F23" i="43"/>
  <c r="F22" i="43"/>
  <c r="AQ20" i="2" s="1"/>
  <c r="F21" i="43"/>
  <c r="F20" i="43"/>
  <c r="AQ18" i="2" s="1"/>
  <c r="F19" i="43"/>
  <c r="F18" i="43"/>
  <c r="F17" i="43"/>
  <c r="F16" i="43"/>
  <c r="F15" i="43"/>
  <c r="AQ13" i="2" s="1"/>
  <c r="F14" i="43"/>
  <c r="F13" i="43"/>
  <c r="F12" i="43"/>
  <c r="F11" i="43"/>
  <c r="F10" i="43"/>
  <c r="K8" i="43"/>
  <c r="J8" i="43"/>
  <c r="I8" i="43"/>
  <c r="H8" i="43"/>
  <c r="G8" i="43"/>
  <c r="F48" i="42"/>
  <c r="AP46" i="2" s="1"/>
  <c r="F47" i="42"/>
  <c r="AP45" i="2" s="1"/>
  <c r="F46" i="42"/>
  <c r="F45" i="42"/>
  <c r="F44" i="42"/>
  <c r="F43" i="42"/>
  <c r="F42" i="42"/>
  <c r="F41" i="42"/>
  <c r="F40" i="42"/>
  <c r="F39" i="42"/>
  <c r="AP36" i="2"/>
  <c r="F38" i="42"/>
  <c r="F37" i="42"/>
  <c r="F36" i="42"/>
  <c r="AP34" i="2" s="1"/>
  <c r="F35" i="42"/>
  <c r="F34" i="42"/>
  <c r="AP32" i="2" s="1"/>
  <c r="F33" i="42"/>
  <c r="AP30" i="2"/>
  <c r="F32" i="42"/>
  <c r="F31" i="42"/>
  <c r="AP28" i="2"/>
  <c r="F30" i="42"/>
  <c r="F29" i="42"/>
  <c r="F28" i="42"/>
  <c r="F27" i="42"/>
  <c r="F26" i="42"/>
  <c r="F25" i="42"/>
  <c r="AP23" i="2" s="1"/>
  <c r="F24" i="42"/>
  <c r="F23" i="42"/>
  <c r="F22" i="42"/>
  <c r="F21" i="42"/>
  <c r="F20" i="42"/>
  <c r="AP18" i="2" s="1"/>
  <c r="F19" i="42"/>
  <c r="F18" i="42"/>
  <c r="F17" i="42"/>
  <c r="F16" i="42"/>
  <c r="AP14" i="2" s="1"/>
  <c r="F15" i="42"/>
  <c r="F14" i="42"/>
  <c r="F13" i="42"/>
  <c r="G50" i="42" s="1"/>
  <c r="F12" i="42"/>
  <c r="F11" i="42"/>
  <c r="F10" i="42"/>
  <c r="K8" i="42"/>
  <c r="J8" i="42"/>
  <c r="I8" i="42"/>
  <c r="H8" i="42"/>
  <c r="G8" i="42"/>
  <c r="I50" i="41"/>
  <c r="AO46" i="2"/>
  <c r="F48" i="41"/>
  <c r="F47" i="41"/>
  <c r="F46" i="41"/>
  <c r="AO44" i="2" s="1"/>
  <c r="F45" i="41"/>
  <c r="F44" i="41"/>
  <c r="F43" i="41"/>
  <c r="AO41" i="2" s="1"/>
  <c r="F42" i="41"/>
  <c r="AO40" i="2" s="1"/>
  <c r="F41" i="41"/>
  <c r="F40" i="41"/>
  <c r="F39" i="41"/>
  <c r="F38" i="41"/>
  <c r="F37" i="41"/>
  <c r="F36" i="41"/>
  <c r="F35" i="41"/>
  <c r="AO33" i="2" s="1"/>
  <c r="F34" i="41"/>
  <c r="AO32" i="2" s="1"/>
  <c r="F33" i="41"/>
  <c r="AO31" i="2" s="1"/>
  <c r="F32" i="41"/>
  <c r="F31" i="41"/>
  <c r="AO29" i="2" s="1"/>
  <c r="F30" i="41"/>
  <c r="AO28" i="2" s="1"/>
  <c r="F29" i="41"/>
  <c r="F28" i="41"/>
  <c r="AO26" i="2" s="1"/>
  <c r="F27" i="41"/>
  <c r="F26" i="41"/>
  <c r="F25" i="41"/>
  <c r="F24" i="41"/>
  <c r="F23" i="41"/>
  <c r="F22" i="41"/>
  <c r="F21" i="41"/>
  <c r="AO18" i="2"/>
  <c r="F20" i="41"/>
  <c r="F19" i="41"/>
  <c r="AO17" i="2" s="1"/>
  <c r="F18" i="41"/>
  <c r="AO16" i="2" s="1"/>
  <c r="F17" i="41"/>
  <c r="AO15" i="2" s="1"/>
  <c r="F16" i="41"/>
  <c r="F15" i="41"/>
  <c r="F14" i="41"/>
  <c r="F13" i="41"/>
  <c r="F12" i="41"/>
  <c r="F11" i="41"/>
  <c r="F10" i="41"/>
  <c r="K8" i="41"/>
  <c r="J8" i="41"/>
  <c r="I8" i="41"/>
  <c r="H8" i="41"/>
  <c r="G8" i="41"/>
  <c r="F48" i="40"/>
  <c r="AN46" i="2" s="1"/>
  <c r="F47" i="40"/>
  <c r="F46" i="40"/>
  <c r="AN44" i="2" s="1"/>
  <c r="F45" i="40"/>
  <c r="F44" i="40"/>
  <c r="AN41" i="2"/>
  <c r="F43" i="40"/>
  <c r="AN40" i="2"/>
  <c r="F42" i="40"/>
  <c r="F41" i="40"/>
  <c r="AN39" i="2" s="1"/>
  <c r="F40" i="40"/>
  <c r="AN38" i="2" s="1"/>
  <c r="AN37" i="2"/>
  <c r="F39" i="40"/>
  <c r="F38" i="40"/>
  <c r="AN36" i="2" s="1"/>
  <c r="AN35" i="2"/>
  <c r="F37" i="40"/>
  <c r="F36" i="40"/>
  <c r="F35" i="40"/>
  <c r="F34" i="40"/>
  <c r="AN31" i="2"/>
  <c r="F33" i="40"/>
  <c r="F32" i="40"/>
  <c r="AN30" i="2" s="1"/>
  <c r="F31" i="40"/>
  <c r="AN29" i="2" s="1"/>
  <c r="F30" i="40"/>
  <c r="AN28" i="2" s="1"/>
  <c r="AN27" i="2"/>
  <c r="F29" i="40"/>
  <c r="F28" i="40"/>
  <c r="F27" i="40"/>
  <c r="F26" i="40"/>
  <c r="F25" i="40"/>
  <c r="AN22" i="2"/>
  <c r="F24" i="40"/>
  <c r="F23" i="40"/>
  <c r="F22" i="40"/>
  <c r="AN20" i="2" s="1"/>
  <c r="F21" i="40"/>
  <c r="AN19" i="2" s="1"/>
  <c r="F20" i="40"/>
  <c r="AN18" i="2" s="1"/>
  <c r="F19" i="40"/>
  <c r="AN17" i="2" s="1"/>
  <c r="AN16" i="2"/>
  <c r="F18" i="40"/>
  <c r="F17" i="40"/>
  <c r="F16" i="40"/>
  <c r="F15" i="40"/>
  <c r="F14" i="40"/>
  <c r="F13" i="40"/>
  <c r="AN11" i="2" s="1"/>
  <c r="F12" i="40"/>
  <c r="L12" i="40" s="1"/>
  <c r="AN10" i="2" s="1"/>
  <c r="F11" i="40"/>
  <c r="L10" i="40"/>
  <c r="AN8" i="2" s="1"/>
  <c r="F10" i="40"/>
  <c r="K8" i="40"/>
  <c r="J8" i="40"/>
  <c r="I8" i="40"/>
  <c r="H8" i="40"/>
  <c r="G8" i="40"/>
  <c r="F48" i="39"/>
  <c r="F47" i="39"/>
  <c r="AM45" i="2" s="1"/>
  <c r="F46" i="39"/>
  <c r="AM44" i="2" s="1"/>
  <c r="F45" i="39"/>
  <c r="AM43" i="2" s="1"/>
  <c r="F44" i="39"/>
  <c r="AM42" i="2" s="1"/>
  <c r="F43" i="39"/>
  <c r="AM41" i="2" s="1"/>
  <c r="F42" i="39"/>
  <c r="F41" i="39"/>
  <c r="AM39" i="2" s="1"/>
  <c r="F40" i="39"/>
  <c r="AM38" i="2" s="1"/>
  <c r="F39" i="39"/>
  <c r="AM36" i="2"/>
  <c r="F38" i="39"/>
  <c r="F37" i="39"/>
  <c r="F36" i="39"/>
  <c r="F35" i="39"/>
  <c r="F34" i="39"/>
  <c r="AM32" i="2" s="1"/>
  <c r="F33" i="39"/>
  <c r="AM31" i="2" s="1"/>
  <c r="F32" i="39"/>
  <c r="AM30" i="2" s="1"/>
  <c r="F31" i="39"/>
  <c r="AM29" i="2" s="1"/>
  <c r="F30" i="39"/>
  <c r="AM28" i="2" s="1"/>
  <c r="F29" i="39"/>
  <c r="F28" i="39"/>
  <c r="F27" i="39"/>
  <c r="F26" i="39"/>
  <c r="F25" i="39"/>
  <c r="F24" i="39"/>
  <c r="AM22" i="2" s="1"/>
  <c r="F23" i="39"/>
  <c r="AM21" i="2" s="1"/>
  <c r="F22" i="39"/>
  <c r="F21" i="39"/>
  <c r="F20" i="39"/>
  <c r="AM18" i="2" s="1"/>
  <c r="F19" i="39"/>
  <c r="AM17" i="2" s="1"/>
  <c r="F18" i="39"/>
  <c r="AM16" i="2" s="1"/>
  <c r="F17" i="39"/>
  <c r="AM15" i="2" s="1"/>
  <c r="F16" i="39"/>
  <c r="F15" i="39"/>
  <c r="F14" i="39"/>
  <c r="F13" i="39"/>
  <c r="F12" i="39"/>
  <c r="F11" i="39"/>
  <c r="F10" i="39"/>
  <c r="K8" i="39"/>
  <c r="J8" i="39"/>
  <c r="I8" i="39"/>
  <c r="H8" i="39"/>
  <c r="G8" i="39"/>
  <c r="J50" i="38"/>
  <c r="I50" i="38"/>
  <c r="F48" i="38"/>
  <c r="AL45" i="2"/>
  <c r="F47" i="38"/>
  <c r="F46" i="38"/>
  <c r="F45" i="38"/>
  <c r="F44" i="38"/>
  <c r="F43" i="38"/>
  <c r="AL40" i="2"/>
  <c r="F42" i="38"/>
  <c r="F41" i="38"/>
  <c r="AL39" i="2" s="1"/>
  <c r="F40" i="38"/>
  <c r="AL37" i="2"/>
  <c r="F39" i="38"/>
  <c r="F38" i="38"/>
  <c r="F37" i="38"/>
  <c r="F36" i="38"/>
  <c r="AL34" i="2" s="1"/>
  <c r="F35" i="38"/>
  <c r="F34" i="38"/>
  <c r="F33" i="38"/>
  <c r="F32" i="38"/>
  <c r="F31" i="38"/>
  <c r="AL29" i="2" s="1"/>
  <c r="F30" i="38"/>
  <c r="F29" i="38"/>
  <c r="F28" i="38"/>
  <c r="AL26" i="2" s="1"/>
  <c r="F27" i="38"/>
  <c r="AL25" i="2" s="1"/>
  <c r="AL24" i="2"/>
  <c r="F26" i="38"/>
  <c r="F25" i="38"/>
  <c r="F24" i="38"/>
  <c r="F23" i="38"/>
  <c r="F22" i="38"/>
  <c r="AL20" i="2" s="1"/>
  <c r="F21" i="38"/>
  <c r="AL19" i="2" s="1"/>
  <c r="F20" i="38"/>
  <c r="F19" i="38"/>
  <c r="AL17" i="2" s="1"/>
  <c r="F18" i="38"/>
  <c r="AL16" i="2" s="1"/>
  <c r="AL15" i="2"/>
  <c r="F17" i="38"/>
  <c r="F16" i="38"/>
  <c r="F15" i="38"/>
  <c r="F14" i="38"/>
  <c r="F13" i="38"/>
  <c r="F12" i="38"/>
  <c r="F11" i="38"/>
  <c r="F10" i="38"/>
  <c r="K8" i="38"/>
  <c r="J8" i="38"/>
  <c r="I8" i="38"/>
  <c r="H8" i="38"/>
  <c r="G8" i="38"/>
  <c r="F48" i="37"/>
  <c r="AK46" i="2" s="1"/>
  <c r="F47" i="37"/>
  <c r="AK45" i="2" s="1"/>
  <c r="AK44" i="2"/>
  <c r="F46" i="37"/>
  <c r="F45" i="37"/>
  <c r="AK43" i="2" s="1"/>
  <c r="AK42" i="2"/>
  <c r="F44" i="37"/>
  <c r="F43" i="37"/>
  <c r="F42" i="37"/>
  <c r="F41" i="37"/>
  <c r="F40" i="37"/>
  <c r="AK37" i="2"/>
  <c r="F39" i="37"/>
  <c r="F38" i="37"/>
  <c r="F37" i="37"/>
  <c r="F36" i="37"/>
  <c r="F35" i="37"/>
  <c r="AK33" i="2" s="1"/>
  <c r="F34" i="37"/>
  <c r="F33" i="37"/>
  <c r="F32" i="37"/>
  <c r="F31" i="37"/>
  <c r="F30" i="37"/>
  <c r="F29" i="37"/>
  <c r="F28" i="37"/>
  <c r="AK25" i="2"/>
  <c r="F27" i="37"/>
  <c r="F26" i="37"/>
  <c r="F25" i="37"/>
  <c r="F24" i="37"/>
  <c r="F23" i="37"/>
  <c r="AK21" i="2" s="1"/>
  <c r="AK20" i="2"/>
  <c r="F22" i="37"/>
  <c r="F21" i="37"/>
  <c r="F20" i="37"/>
  <c r="F19" i="37"/>
  <c r="AK17" i="2" s="1"/>
  <c r="F18" i="37"/>
  <c r="AK16" i="2" s="1"/>
  <c r="AK15" i="2"/>
  <c r="F17" i="37"/>
  <c r="F16" i="37"/>
  <c r="F15" i="37"/>
  <c r="F14" i="37"/>
  <c r="AK12" i="2" s="1"/>
  <c r="F13" i="37"/>
  <c r="F12" i="37"/>
  <c r="F11" i="37"/>
  <c r="F10" i="37"/>
  <c r="K8" i="37"/>
  <c r="J8" i="37"/>
  <c r="I8" i="37"/>
  <c r="H8" i="37"/>
  <c r="G8" i="37"/>
  <c r="F48" i="36"/>
  <c r="F47" i="36"/>
  <c r="AJ45" i="2" s="1"/>
  <c r="F46" i="36"/>
  <c r="F45" i="36"/>
  <c r="F44" i="36"/>
  <c r="F43" i="36"/>
  <c r="F42" i="36"/>
  <c r="F41" i="36"/>
  <c r="F40" i="36"/>
  <c r="AJ38" i="2" s="1"/>
  <c r="F39" i="36"/>
  <c r="AJ37" i="2" s="1"/>
  <c r="F38" i="36"/>
  <c r="F37" i="36"/>
  <c r="F36" i="36"/>
  <c r="AJ34" i="2" s="1"/>
  <c r="F35" i="36"/>
  <c r="AJ33" i="2" s="1"/>
  <c r="AJ32" i="2"/>
  <c r="F34" i="36"/>
  <c r="F33" i="36"/>
  <c r="AJ31" i="2" s="1"/>
  <c r="F32" i="36"/>
  <c r="F31" i="36"/>
  <c r="AJ29" i="2" s="1"/>
  <c r="F30" i="36"/>
  <c r="F29" i="36"/>
  <c r="AJ27" i="2" s="1"/>
  <c r="F28" i="36"/>
  <c r="AJ26" i="2" s="1"/>
  <c r="F27" i="36"/>
  <c r="AJ25" i="2" s="1"/>
  <c r="F26" i="36"/>
  <c r="AJ24" i="2" s="1"/>
  <c r="AJ23" i="2"/>
  <c r="F25" i="36"/>
  <c r="F24" i="36"/>
  <c r="F23" i="36"/>
  <c r="F22" i="36"/>
  <c r="AJ20" i="2" s="1"/>
  <c r="F21" i="36"/>
  <c r="F20" i="36"/>
  <c r="F19" i="36"/>
  <c r="AJ17" i="2" s="1"/>
  <c r="F18" i="36"/>
  <c r="AJ16" i="2" s="1"/>
  <c r="AJ15" i="2"/>
  <c r="F17" i="36"/>
  <c r="F16" i="36"/>
  <c r="F15" i="36"/>
  <c r="F14" i="36"/>
  <c r="AJ12" i="2" s="1"/>
  <c r="F13" i="36"/>
  <c r="F12" i="36"/>
  <c r="F11" i="36"/>
  <c r="F10" i="36"/>
  <c r="K8" i="36"/>
  <c r="J8" i="36"/>
  <c r="I8" i="36"/>
  <c r="H8" i="36"/>
  <c r="G8" i="36"/>
  <c r="F48" i="35"/>
  <c r="F47" i="35"/>
  <c r="F46" i="35"/>
  <c r="F45" i="35"/>
  <c r="AI42" i="2"/>
  <c r="F44" i="35"/>
  <c r="F43" i="35"/>
  <c r="F42" i="35"/>
  <c r="F41" i="35"/>
  <c r="F40" i="35"/>
  <c r="F39" i="35"/>
  <c r="F38" i="35"/>
  <c r="F37" i="35"/>
  <c r="F36" i="35"/>
  <c r="AI34" i="2" s="1"/>
  <c r="F35" i="35"/>
  <c r="F34" i="35"/>
  <c r="F33" i="35"/>
  <c r="F32" i="35"/>
  <c r="AI29" i="2"/>
  <c r="F31" i="35"/>
  <c r="F30" i="35"/>
  <c r="F29" i="35"/>
  <c r="F28" i="35"/>
  <c r="F27" i="35"/>
  <c r="F26" i="35"/>
  <c r="F25" i="35"/>
  <c r="F24" i="35"/>
  <c r="F23" i="35"/>
  <c r="AI21" i="2" s="1"/>
  <c r="F22" i="35"/>
  <c r="AI20" i="2" s="1"/>
  <c r="F21" i="35"/>
  <c r="F20" i="35"/>
  <c r="F19" i="35"/>
  <c r="F18" i="35"/>
  <c r="AI16" i="2" s="1"/>
  <c r="F17" i="35"/>
  <c r="F16" i="35"/>
  <c r="AI14" i="2" s="1"/>
  <c r="F15" i="35"/>
  <c r="AI13" i="2" s="1"/>
  <c r="F14" i="35"/>
  <c r="F13" i="35"/>
  <c r="F12" i="35"/>
  <c r="F11" i="35"/>
  <c r="F10" i="35"/>
  <c r="K8" i="35"/>
  <c r="J8" i="35"/>
  <c r="I8" i="35"/>
  <c r="H8" i="35"/>
  <c r="G8" i="35"/>
  <c r="F48" i="34"/>
  <c r="F47" i="34"/>
  <c r="F46" i="34"/>
  <c r="AH44" i="2" s="1"/>
  <c r="F45" i="34"/>
  <c r="AH42" i="2"/>
  <c r="F44" i="34"/>
  <c r="F43" i="34"/>
  <c r="AH41" i="2" s="1"/>
  <c r="F42" i="34"/>
  <c r="F41" i="34"/>
  <c r="F40" i="34"/>
  <c r="F39" i="34"/>
  <c r="F38" i="34"/>
  <c r="F37" i="34"/>
  <c r="AH35" i="2" s="1"/>
  <c r="F36" i="34"/>
  <c r="F35" i="34"/>
  <c r="F34" i="34"/>
  <c r="AH32" i="2" s="1"/>
  <c r="AH31" i="2"/>
  <c r="F33" i="34"/>
  <c r="F32" i="34"/>
  <c r="F31" i="34"/>
  <c r="AH29" i="2" s="1"/>
  <c r="AH28" i="2"/>
  <c r="F30" i="34"/>
  <c r="F29" i="34"/>
  <c r="F28" i="34"/>
  <c r="F27" i="34"/>
  <c r="F26" i="34"/>
  <c r="F25" i="34"/>
  <c r="F24" i="34"/>
  <c r="F23" i="34"/>
  <c r="F22" i="34"/>
  <c r="F21" i="34"/>
  <c r="AH19" i="2" s="1"/>
  <c r="F20" i="34"/>
  <c r="F19" i="34"/>
  <c r="F18" i="34"/>
  <c r="AH16" i="2" s="1"/>
  <c r="F17" i="34"/>
  <c r="AH15" i="2" s="1"/>
  <c r="F16" i="34"/>
  <c r="AH14" i="2" s="1"/>
  <c r="F15" i="34"/>
  <c r="F14" i="34"/>
  <c r="F13" i="34"/>
  <c r="F12" i="34"/>
  <c r="F11" i="34"/>
  <c r="F10" i="34"/>
  <c r="K8" i="34"/>
  <c r="J8" i="34"/>
  <c r="I8" i="34"/>
  <c r="H8" i="34"/>
  <c r="G8" i="34"/>
  <c r="K50" i="33"/>
  <c r="G50" i="33"/>
  <c r="F48" i="33"/>
  <c r="F47" i="33"/>
  <c r="F46" i="33"/>
  <c r="F45" i="33"/>
  <c r="AG43" i="2" s="1"/>
  <c r="F44" i="33"/>
  <c r="AG42" i="2" s="1"/>
  <c r="F43" i="33"/>
  <c r="F42" i="33"/>
  <c r="F41" i="33"/>
  <c r="F40" i="33"/>
  <c r="F39" i="33"/>
  <c r="F38" i="33"/>
  <c r="F37" i="33"/>
  <c r="AG35" i="2" s="1"/>
  <c r="F36" i="33"/>
  <c r="F35" i="33"/>
  <c r="F34" i="33"/>
  <c r="AG32" i="2" s="1"/>
  <c r="F33" i="33"/>
  <c r="AG31" i="2" s="1"/>
  <c r="F32" i="33"/>
  <c r="AG30" i="2" s="1"/>
  <c r="F31" i="33"/>
  <c r="F30" i="33"/>
  <c r="F29" i="33"/>
  <c r="F28" i="33"/>
  <c r="F27" i="33"/>
  <c r="F26" i="33"/>
  <c r="F25" i="33"/>
  <c r="F24" i="33"/>
  <c r="F23" i="33"/>
  <c r="AG21" i="2" s="1"/>
  <c r="F22" i="33"/>
  <c r="AG20" i="2" s="1"/>
  <c r="F21" i="33"/>
  <c r="AG19" i="2" s="1"/>
  <c r="AG18" i="2"/>
  <c r="F20" i="33"/>
  <c r="F19" i="33"/>
  <c r="F18" i="33"/>
  <c r="F17" i="33"/>
  <c r="F16" i="33"/>
  <c r="F15" i="33"/>
  <c r="F14" i="33"/>
  <c r="F13" i="33"/>
  <c r="F12" i="33"/>
  <c r="F11" i="33"/>
  <c r="AG8" i="2"/>
  <c r="F10" i="33"/>
  <c r="K8" i="33"/>
  <c r="J8" i="33"/>
  <c r="I8" i="33"/>
  <c r="H8" i="33"/>
  <c r="G8" i="33"/>
  <c r="F48" i="32"/>
  <c r="F47" i="32"/>
  <c r="F46" i="32"/>
  <c r="AF44" i="2" s="1"/>
  <c r="F45" i="32"/>
  <c r="AF43" i="2" s="1"/>
  <c r="F44" i="32"/>
  <c r="AF42" i="2" s="1"/>
  <c r="AF41" i="2"/>
  <c r="F43" i="32"/>
  <c r="F42" i="32"/>
  <c r="F41" i="32"/>
  <c r="F40" i="32"/>
  <c r="F39" i="32"/>
  <c r="F38" i="32"/>
  <c r="F37" i="32"/>
  <c r="F36" i="32"/>
  <c r="AF34" i="2" s="1"/>
  <c r="F35" i="32"/>
  <c r="AF33" i="2" s="1"/>
  <c r="F34" i="32"/>
  <c r="AF32" i="2" s="1"/>
  <c r="AF31" i="2"/>
  <c r="F33" i="32"/>
  <c r="F32" i="32"/>
  <c r="F31" i="32"/>
  <c r="F30" i="32"/>
  <c r="F29" i="32"/>
  <c r="F28" i="32"/>
  <c r="F27" i="32"/>
  <c r="F26" i="32"/>
  <c r="F25" i="32"/>
  <c r="F24" i="32"/>
  <c r="F23" i="32"/>
  <c r="F22" i="32"/>
  <c r="F21" i="32"/>
  <c r="F20" i="32"/>
  <c r="F19" i="32"/>
  <c r="F18" i="32"/>
  <c r="F17" i="32"/>
  <c r="AF15" i="2" s="1"/>
  <c r="F16" i="32"/>
  <c r="AF14" i="2" s="1"/>
  <c r="F15" i="32"/>
  <c r="F14" i="32"/>
  <c r="F13" i="32"/>
  <c r="F12" i="32"/>
  <c r="F11" i="32"/>
  <c r="F10" i="32"/>
  <c r="K8" i="32"/>
  <c r="J8" i="32"/>
  <c r="I8" i="32"/>
  <c r="H8" i="32"/>
  <c r="G8" i="32"/>
  <c r="F48" i="31"/>
  <c r="F47" i="31"/>
  <c r="AE45" i="2" s="1"/>
  <c r="F46" i="31"/>
  <c r="AE44" i="2" s="1"/>
  <c r="F45" i="31"/>
  <c r="F44" i="31"/>
  <c r="F43" i="31"/>
  <c r="F42" i="31"/>
  <c r="F41" i="31"/>
  <c r="F40" i="31"/>
  <c r="F39" i="31"/>
  <c r="F38" i="31"/>
  <c r="AE36" i="2" s="1"/>
  <c r="F37" i="31"/>
  <c r="F36" i="31"/>
  <c r="AE34" i="2" s="1"/>
  <c r="F35" i="31"/>
  <c r="F34" i="31"/>
  <c r="AE32" i="2" s="1"/>
  <c r="F33" i="31"/>
  <c r="AE31" i="2" s="1"/>
  <c r="AE30" i="2"/>
  <c r="F32" i="31"/>
  <c r="F31" i="31"/>
  <c r="F30" i="31"/>
  <c r="F29" i="31"/>
  <c r="F28" i="31"/>
  <c r="F27" i="31"/>
  <c r="AE25" i="2" s="1"/>
  <c r="F26" i="31"/>
  <c r="AE24" i="2" s="1"/>
  <c r="F25" i="31"/>
  <c r="AE23" i="2" s="1"/>
  <c r="F24" i="31"/>
  <c r="F23" i="31"/>
  <c r="AE21" i="2" s="1"/>
  <c r="F22" i="31"/>
  <c r="AE20" i="2" s="1"/>
  <c r="F21" i="31"/>
  <c r="AE19" i="2" s="1"/>
  <c r="AE18" i="2"/>
  <c r="F20" i="31"/>
  <c r="F19" i="31"/>
  <c r="F18" i="31"/>
  <c r="F17" i="31"/>
  <c r="AE15" i="2" s="1"/>
  <c r="F16" i="31"/>
  <c r="AE14" i="2" s="1"/>
  <c r="F15" i="31"/>
  <c r="AE13" i="2" s="1"/>
  <c r="F14" i="31"/>
  <c r="F13" i="31"/>
  <c r="F12" i="31"/>
  <c r="F11" i="31"/>
  <c r="F10" i="31"/>
  <c r="K8" i="31"/>
  <c r="J8" i="31"/>
  <c r="I8" i="31"/>
  <c r="H8" i="31"/>
  <c r="G8" i="31"/>
  <c r="F48" i="30"/>
  <c r="F47" i="30"/>
  <c r="F46" i="30"/>
  <c r="F45" i="30"/>
  <c r="F44" i="30"/>
  <c r="F43" i="30"/>
  <c r="F42" i="30"/>
  <c r="F41" i="30"/>
  <c r="F40" i="30"/>
  <c r="F39" i="30"/>
  <c r="F38" i="30"/>
  <c r="AD36" i="2" s="1"/>
  <c r="F37" i="30"/>
  <c r="F36" i="30"/>
  <c r="AD34" i="2" s="1"/>
  <c r="AD33" i="2"/>
  <c r="F35" i="30"/>
  <c r="F34" i="30"/>
  <c r="AD32" i="2" s="1"/>
  <c r="F33" i="30"/>
  <c r="F32" i="30"/>
  <c r="F31" i="30"/>
  <c r="F30" i="30"/>
  <c r="F29" i="30"/>
  <c r="F28" i="30"/>
  <c r="F27" i="30"/>
  <c r="AD24" i="2"/>
  <c r="F26" i="30"/>
  <c r="F25" i="30"/>
  <c r="F24" i="30"/>
  <c r="AD22" i="2" s="1"/>
  <c r="F23" i="30"/>
  <c r="F22" i="30"/>
  <c r="F21" i="30"/>
  <c r="F20" i="30"/>
  <c r="AD18" i="2" s="1"/>
  <c r="F19" i="30"/>
  <c r="F18" i="30"/>
  <c r="F17" i="30"/>
  <c r="F16" i="30"/>
  <c r="AD14" i="2" s="1"/>
  <c r="F15" i="30"/>
  <c r="F14" i="30"/>
  <c r="AD12" i="2" s="1"/>
  <c r="F13" i="30"/>
  <c r="F12" i="30"/>
  <c r="AD9" i="2"/>
  <c r="F11" i="30"/>
  <c r="F10" i="30"/>
  <c r="K8" i="30"/>
  <c r="J8" i="30"/>
  <c r="I8" i="30"/>
  <c r="H8" i="30"/>
  <c r="G8" i="30"/>
  <c r="F48" i="29"/>
  <c r="F47" i="29"/>
  <c r="F46" i="29"/>
  <c r="AC44" i="2" s="1"/>
  <c r="F45" i="29"/>
  <c r="AC43" i="2" s="1"/>
  <c r="F44" i="29"/>
  <c r="F43" i="29"/>
  <c r="F42" i="29"/>
  <c r="F41" i="29"/>
  <c r="AC39" i="2" s="1"/>
  <c r="F40" i="29"/>
  <c r="F39" i="29"/>
  <c r="F38" i="29"/>
  <c r="F37" i="29"/>
  <c r="F36" i="29"/>
  <c r="AC34" i="2" s="1"/>
  <c r="F35" i="29"/>
  <c r="F34" i="29"/>
  <c r="AC32" i="2" s="1"/>
  <c r="F33" i="29"/>
  <c r="AC31" i="2" s="1"/>
  <c r="AC30" i="2"/>
  <c r="F32" i="29"/>
  <c r="F31" i="29"/>
  <c r="AC29" i="2" s="1"/>
  <c r="F30" i="29"/>
  <c r="AC28" i="2" s="1"/>
  <c r="F29" i="29"/>
  <c r="F28" i="29"/>
  <c r="AC26" i="2" s="1"/>
  <c r="F27" i="29"/>
  <c r="AC25" i="2" s="1"/>
  <c r="F26" i="29"/>
  <c r="F25" i="29"/>
  <c r="F24" i="29"/>
  <c r="F23" i="29"/>
  <c r="F22" i="29"/>
  <c r="F21" i="29"/>
  <c r="F20" i="29"/>
  <c r="F19" i="29"/>
  <c r="AC16" i="2"/>
  <c r="F18" i="29"/>
  <c r="F17" i="29"/>
  <c r="AC15" i="2" s="1"/>
  <c r="F16" i="29"/>
  <c r="AC14" i="2" s="1"/>
  <c r="F15" i="29"/>
  <c r="AC13" i="2" s="1"/>
  <c r="F14" i="29"/>
  <c r="AC12" i="2" s="1"/>
  <c r="AC11" i="2"/>
  <c r="F13" i="29"/>
  <c r="F12" i="29"/>
  <c r="F11" i="29"/>
  <c r="F10" i="29"/>
  <c r="K8" i="29"/>
  <c r="J8" i="29"/>
  <c r="I8" i="29"/>
  <c r="H8" i="29"/>
  <c r="G8" i="29"/>
  <c r="AB46" i="2"/>
  <c r="F48" i="28"/>
  <c r="F47" i="28"/>
  <c r="F46" i="28"/>
  <c r="AB44" i="2" s="1"/>
  <c r="F45" i="28"/>
  <c r="AB43" i="2" s="1"/>
  <c r="F44" i="28"/>
  <c r="F43" i="28"/>
  <c r="AB41" i="2" s="1"/>
  <c r="F42" i="28"/>
  <c r="AB40" i="2" s="1"/>
  <c r="F41" i="28"/>
  <c r="F40" i="28"/>
  <c r="F39" i="28"/>
  <c r="F38" i="28"/>
  <c r="F37" i="28"/>
  <c r="F36" i="28"/>
  <c r="J50" i="28" s="1"/>
  <c r="AB33" i="2"/>
  <c r="F35" i="28"/>
  <c r="F34" i="28"/>
  <c r="AB32" i="2" s="1"/>
  <c r="F33" i="28"/>
  <c r="AB31" i="2" s="1"/>
  <c r="F32" i="28"/>
  <c r="F31" i="28"/>
  <c r="F30" i="28"/>
  <c r="F29" i="28"/>
  <c r="F28" i="28"/>
  <c r="AB26" i="2" s="1"/>
  <c r="F27" i="28"/>
  <c r="AB25" i="2" s="1"/>
  <c r="F26" i="28"/>
  <c r="AB24" i="2" s="1"/>
  <c r="F25" i="28"/>
  <c r="F24" i="28"/>
  <c r="F23" i="28"/>
  <c r="F22" i="28"/>
  <c r="F21" i="28"/>
  <c r="F20" i="28"/>
  <c r="F19" i="28"/>
  <c r="AB17" i="2" s="1"/>
  <c r="F18" i="28"/>
  <c r="AB16" i="2" s="1"/>
  <c r="F17" i="28"/>
  <c r="AB14" i="2"/>
  <c r="F16" i="28"/>
  <c r="F15" i="28"/>
  <c r="AB13" i="2" s="1"/>
  <c r="F14" i="28"/>
  <c r="AB12" i="2" s="1"/>
  <c r="F13" i="28"/>
  <c r="F12" i="28"/>
  <c r="F11" i="28"/>
  <c r="F10" i="28"/>
  <c r="K8" i="28"/>
  <c r="J8" i="28"/>
  <c r="I8" i="28"/>
  <c r="H8" i="28"/>
  <c r="G8" i="28"/>
  <c r="F48" i="27"/>
  <c r="AA46" i="2" s="1"/>
  <c r="F47" i="27"/>
  <c r="F46" i="27"/>
  <c r="F45" i="27"/>
  <c r="F44" i="27"/>
  <c r="F43" i="27"/>
  <c r="AA41" i="2" s="1"/>
  <c r="F42" i="27"/>
  <c r="F41" i="27"/>
  <c r="F40" i="27"/>
  <c r="F39" i="27"/>
  <c r="F38" i="27"/>
  <c r="F37" i="27"/>
  <c r="F36" i="27"/>
  <c r="F35" i="27"/>
  <c r="F34" i="27"/>
  <c r="F33" i="27"/>
  <c r="F32" i="27"/>
  <c r="AA30" i="2" s="1"/>
  <c r="F31" i="27"/>
  <c r="AA29" i="2" s="1"/>
  <c r="AA28" i="2"/>
  <c r="F30" i="27"/>
  <c r="F29" i="27"/>
  <c r="F28" i="27"/>
  <c r="F27" i="27"/>
  <c r="F26" i="27"/>
  <c r="F25" i="27"/>
  <c r="F24" i="27"/>
  <c r="F23" i="27"/>
  <c r="F22" i="27"/>
  <c r="F21" i="27"/>
  <c r="AA19" i="2" s="1"/>
  <c r="F20" i="27"/>
  <c r="F19" i="27"/>
  <c r="AA17" i="2" s="1"/>
  <c r="AA16" i="2"/>
  <c r="F18" i="27"/>
  <c r="F17" i="27"/>
  <c r="AA15" i="2" s="1"/>
  <c r="F16" i="27"/>
  <c r="F15" i="27"/>
  <c r="F14" i="27"/>
  <c r="F13" i="27"/>
  <c r="F12" i="27"/>
  <c r="F11" i="27"/>
  <c r="F10" i="27"/>
  <c r="K8" i="27"/>
  <c r="J8" i="27"/>
  <c r="I8" i="27"/>
  <c r="H8" i="27"/>
  <c r="G8" i="27"/>
  <c r="Z46" i="2"/>
  <c r="F48" i="26"/>
  <c r="F47" i="26"/>
  <c r="F46" i="26"/>
  <c r="Z43" i="2"/>
  <c r="F45" i="26"/>
  <c r="F44" i="26"/>
  <c r="F43" i="26"/>
  <c r="F42" i="26"/>
  <c r="F41" i="26"/>
  <c r="F40" i="26"/>
  <c r="F39" i="26"/>
  <c r="F38" i="26"/>
  <c r="F37" i="26"/>
  <c r="F36" i="26"/>
  <c r="Z34" i="2" s="1"/>
  <c r="Z33" i="2"/>
  <c r="F35" i="26"/>
  <c r="F34" i="26"/>
  <c r="F33" i="26"/>
  <c r="Z31" i="2" s="1"/>
  <c r="F32" i="26"/>
  <c r="F31" i="26"/>
  <c r="F30" i="26"/>
  <c r="F29" i="26"/>
  <c r="F28" i="26"/>
  <c r="F27" i="26"/>
  <c r="F26" i="26"/>
  <c r="F25" i="26"/>
  <c r="F24" i="26"/>
  <c r="F23" i="26"/>
  <c r="F22" i="26"/>
  <c r="F21" i="26"/>
  <c r="Z19" i="2" s="1"/>
  <c r="Z18" i="2"/>
  <c r="F20" i="26"/>
  <c r="F19" i="26"/>
  <c r="F18" i="26"/>
  <c r="Z16" i="2" s="1"/>
  <c r="F17" i="26"/>
  <c r="K50" i="26" s="1"/>
  <c r="F16" i="26"/>
  <c r="F15" i="26"/>
  <c r="F14" i="26"/>
  <c r="F13" i="26"/>
  <c r="F12" i="26"/>
  <c r="F11" i="26"/>
  <c r="F10" i="26"/>
  <c r="K8" i="26"/>
  <c r="J8" i="26"/>
  <c r="I8" i="26"/>
  <c r="H8" i="26"/>
  <c r="G8" i="26"/>
  <c r="J50" i="25"/>
  <c r="F48" i="25"/>
  <c r="Y45" i="2"/>
  <c r="F47" i="25"/>
  <c r="F46" i="25"/>
  <c r="F45" i="25"/>
  <c r="Y43" i="2" s="1"/>
  <c r="F44" i="25"/>
  <c r="F43" i="25"/>
  <c r="F42" i="25"/>
  <c r="F41" i="25"/>
  <c r="F40" i="25"/>
  <c r="Y38" i="2" s="1"/>
  <c r="F39" i="25"/>
  <c r="F38" i="25"/>
  <c r="F37" i="25"/>
  <c r="F36" i="25"/>
  <c r="F35" i="25"/>
  <c r="Y32" i="2"/>
  <c r="F34" i="25"/>
  <c r="F33" i="25"/>
  <c r="Y31" i="2" s="1"/>
  <c r="F32" i="25"/>
  <c r="Y30" i="2" s="1"/>
  <c r="F31" i="25"/>
  <c r="F30" i="25"/>
  <c r="F29" i="25"/>
  <c r="F28" i="25"/>
  <c r="Y26" i="2" s="1"/>
  <c r="F27" i="25"/>
  <c r="F26" i="25"/>
  <c r="Y24" i="2" s="1"/>
  <c r="F25" i="25"/>
  <c r="F24" i="25"/>
  <c r="F23" i="25"/>
  <c r="F22" i="25"/>
  <c r="Y20" i="2" s="1"/>
  <c r="F21" i="25"/>
  <c r="F20" i="25"/>
  <c r="Y18" i="2" s="1"/>
  <c r="F19" i="25"/>
  <c r="F18" i="25"/>
  <c r="Y16" i="2" s="1"/>
  <c r="F17" i="25"/>
  <c r="F16" i="25"/>
  <c r="Y13" i="2"/>
  <c r="F15" i="25"/>
  <c r="F14" i="25"/>
  <c r="F13" i="25"/>
  <c r="Y11" i="2" s="1"/>
  <c r="F12" i="25"/>
  <c r="F11" i="25"/>
  <c r="F10" i="25"/>
  <c r="K8" i="25"/>
  <c r="J8" i="25"/>
  <c r="I8" i="25"/>
  <c r="H8" i="25"/>
  <c r="G8" i="25"/>
  <c r="K50" i="24"/>
  <c r="F48" i="24"/>
  <c r="X46" i="2" s="1"/>
  <c r="F47" i="24"/>
  <c r="X45" i="2" s="1"/>
  <c r="F46" i="24"/>
  <c r="F45" i="24"/>
  <c r="F44" i="24"/>
  <c r="F43" i="24"/>
  <c r="F42" i="24"/>
  <c r="F41" i="24"/>
  <c r="F40" i="24"/>
  <c r="X38" i="2" s="1"/>
  <c r="F39" i="24"/>
  <c r="X37" i="2" s="1"/>
  <c r="F38" i="24"/>
  <c r="X36" i="2" s="1"/>
  <c r="X35" i="2"/>
  <c r="F37" i="24"/>
  <c r="F36" i="24"/>
  <c r="X34" i="2" s="1"/>
  <c r="F35" i="24"/>
  <c r="F34" i="24"/>
  <c r="F33" i="24"/>
  <c r="X31" i="2" s="1"/>
  <c r="F32" i="24"/>
  <c r="F31" i="24"/>
  <c r="F30" i="24"/>
  <c r="F29" i="24"/>
  <c r="X27" i="2" s="1"/>
  <c r="X26" i="2"/>
  <c r="F28" i="24"/>
  <c r="F27" i="24"/>
  <c r="F26" i="24"/>
  <c r="X24" i="2" s="1"/>
  <c r="F25" i="24"/>
  <c r="F24" i="24"/>
  <c r="X22" i="2" s="1"/>
  <c r="F23" i="24"/>
  <c r="F22" i="24"/>
  <c r="F21" i="24"/>
  <c r="X18" i="2"/>
  <c r="F20" i="24"/>
  <c r="X17" i="2"/>
  <c r="F19" i="24"/>
  <c r="F18" i="24"/>
  <c r="X16" i="2" s="1"/>
  <c r="F17" i="24"/>
  <c r="X15" i="2" s="1"/>
  <c r="F16" i="24"/>
  <c r="F15" i="24"/>
  <c r="X13" i="2" s="1"/>
  <c r="F14" i="24"/>
  <c r="X12" i="2" s="1"/>
  <c r="F13" i="24"/>
  <c r="F12" i="24"/>
  <c r="F11" i="24"/>
  <c r="F10" i="24"/>
  <c r="K8" i="24"/>
  <c r="J8" i="24"/>
  <c r="I8" i="24"/>
  <c r="H8" i="24"/>
  <c r="G8" i="24"/>
  <c r="W46" i="2"/>
  <c r="F48" i="23"/>
  <c r="F47" i="23"/>
  <c r="F46" i="23"/>
  <c r="W44" i="2" s="1"/>
  <c r="F45" i="23"/>
  <c r="W43" i="2" s="1"/>
  <c r="F44" i="23"/>
  <c r="F43" i="23"/>
  <c r="F42" i="23"/>
  <c r="F41" i="23"/>
  <c r="F40" i="23"/>
  <c r="F39" i="23"/>
  <c r="F38" i="23"/>
  <c r="F37" i="23"/>
  <c r="F36" i="23"/>
  <c r="W34" i="2" s="1"/>
  <c r="F35" i="23"/>
  <c r="W33" i="2" s="1"/>
  <c r="F34" i="23"/>
  <c r="W32" i="2" s="1"/>
  <c r="W31" i="2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W19" i="2" s="1"/>
  <c r="F20" i="23"/>
  <c r="F19" i="23"/>
  <c r="F18" i="23"/>
  <c r="F17" i="23"/>
  <c r="F16" i="23"/>
  <c r="F15" i="23"/>
  <c r="W13" i="2" s="1"/>
  <c r="F14" i="23"/>
  <c r="H50" i="23" s="1"/>
  <c r="F13" i="23"/>
  <c r="F12" i="23"/>
  <c r="F11" i="23"/>
  <c r="F10" i="23"/>
  <c r="K8" i="23"/>
  <c r="J8" i="23"/>
  <c r="I8" i="23"/>
  <c r="H8" i="23"/>
  <c r="G8" i="23"/>
  <c r="F48" i="22"/>
  <c r="V46" i="2" s="1"/>
  <c r="F47" i="22"/>
  <c r="V45" i="2" s="1"/>
  <c r="F46" i="22"/>
  <c r="F45" i="22"/>
  <c r="F44" i="22"/>
  <c r="F43" i="22"/>
  <c r="V41" i="2" s="1"/>
  <c r="F42" i="22"/>
  <c r="F41" i="22"/>
  <c r="F40" i="22"/>
  <c r="F39" i="22"/>
  <c r="F38" i="22"/>
  <c r="F37" i="22"/>
  <c r="V35" i="2" s="1"/>
  <c r="F36" i="22"/>
  <c r="F35" i="22"/>
  <c r="F34" i="22"/>
  <c r="F33" i="22"/>
  <c r="V31" i="2" s="1"/>
  <c r="F32" i="22"/>
  <c r="V30" i="2" s="1"/>
  <c r="F31" i="22"/>
  <c r="V29" i="2" s="1"/>
  <c r="F30" i="22"/>
  <c r="V28" i="2" s="1"/>
  <c r="F29" i="22"/>
  <c r="V27" i="2" s="1"/>
  <c r="F28" i="22"/>
  <c r="F27" i="22"/>
  <c r="F26" i="22"/>
  <c r="F25" i="22"/>
  <c r="F24" i="22"/>
  <c r="F23" i="22"/>
  <c r="F22" i="22"/>
  <c r="V20" i="2" s="1"/>
  <c r="F21" i="22"/>
  <c r="F20" i="22"/>
  <c r="F19" i="22"/>
  <c r="V17" i="2" s="1"/>
  <c r="F18" i="22"/>
  <c r="F17" i="22"/>
  <c r="V14" i="2"/>
  <c r="F16" i="22"/>
  <c r="F15" i="22"/>
  <c r="F14" i="22"/>
  <c r="F13" i="22"/>
  <c r="F12" i="22"/>
  <c r="F11" i="22"/>
  <c r="F10" i="22"/>
  <c r="K8" i="22"/>
  <c r="J8" i="22"/>
  <c r="I8" i="22"/>
  <c r="H8" i="22"/>
  <c r="G8" i="22"/>
  <c r="F48" i="21"/>
  <c r="U45" i="2"/>
  <c r="F47" i="21"/>
  <c r="F46" i="21"/>
  <c r="U44" i="2" s="1"/>
  <c r="F45" i="21"/>
  <c r="U43" i="2" s="1"/>
  <c r="F44" i="21"/>
  <c r="F43" i="21"/>
  <c r="F42" i="21"/>
  <c r="F41" i="21"/>
  <c r="F40" i="21"/>
  <c r="F39" i="21"/>
  <c r="U37" i="2" s="1"/>
  <c r="U36" i="2"/>
  <c r="F38" i="21"/>
  <c r="F37" i="21"/>
  <c r="F36" i="21"/>
  <c r="F35" i="21"/>
  <c r="U33" i="2" s="1"/>
  <c r="F34" i="21"/>
  <c r="F33" i="21"/>
  <c r="U31" i="2" s="1"/>
  <c r="U30" i="2"/>
  <c r="F32" i="21"/>
  <c r="U29" i="2"/>
  <c r="F31" i="21"/>
  <c r="U28" i="2"/>
  <c r="F30" i="21"/>
  <c r="F29" i="21"/>
  <c r="U27" i="2" s="1"/>
  <c r="F28" i="21"/>
  <c r="U26" i="2" s="1"/>
  <c r="F27" i="21"/>
  <c r="F26" i="21"/>
  <c r="F25" i="21"/>
  <c r="F24" i="21"/>
  <c r="F23" i="21"/>
  <c r="F22" i="21"/>
  <c r="U20" i="2" s="1"/>
  <c r="F21" i="21"/>
  <c r="K50" i="21" s="1"/>
  <c r="F20" i="21"/>
  <c r="F19" i="21"/>
  <c r="U17" i="2" s="1"/>
  <c r="F18" i="21"/>
  <c r="F17" i="21"/>
  <c r="U15" i="2" s="1"/>
  <c r="F16" i="21"/>
  <c r="F15" i="21"/>
  <c r="F14" i="21"/>
  <c r="F13" i="21"/>
  <c r="U10" i="2"/>
  <c r="F12" i="21"/>
  <c r="F11" i="21"/>
  <c r="F10" i="21"/>
  <c r="K8" i="21"/>
  <c r="J8" i="21"/>
  <c r="I8" i="21"/>
  <c r="H8" i="21"/>
  <c r="G8" i="21"/>
  <c r="F48" i="20"/>
  <c r="T46" i="2" s="1"/>
  <c r="F47" i="20"/>
  <c r="F46" i="20"/>
  <c r="T44" i="2" s="1"/>
  <c r="T43" i="2"/>
  <c r="F45" i="20"/>
  <c r="F44" i="20"/>
  <c r="F43" i="20"/>
  <c r="F42" i="20"/>
  <c r="T39" i="2"/>
  <c r="F41" i="20"/>
  <c r="F40" i="20"/>
  <c r="T38" i="2" s="1"/>
  <c r="F39" i="20"/>
  <c r="T37" i="2" s="1"/>
  <c r="F38" i="20"/>
  <c r="F37" i="20"/>
  <c r="T35" i="2" s="1"/>
  <c r="F36" i="20"/>
  <c r="T34" i="2" s="1"/>
  <c r="F35" i="20"/>
  <c r="F34" i="20"/>
  <c r="F33" i="20"/>
  <c r="T31" i="2" s="1"/>
  <c r="T30" i="2"/>
  <c r="F32" i="20"/>
  <c r="F31" i="20"/>
  <c r="T29" i="2" s="1"/>
  <c r="F30" i="20"/>
  <c r="T28" i="2" s="1"/>
  <c r="F29" i="20"/>
  <c r="T27" i="2" s="1"/>
  <c r="F28" i="20"/>
  <c r="T26" i="2" s="1"/>
  <c r="F27" i="20"/>
  <c r="T24" i="2"/>
  <c r="F26" i="20"/>
  <c r="F25" i="20"/>
  <c r="F24" i="20"/>
  <c r="F23" i="20"/>
  <c r="F22" i="20"/>
  <c r="F21" i="20"/>
  <c r="T18" i="2"/>
  <c r="F20" i="20"/>
  <c r="F19" i="20"/>
  <c r="T17" i="2" s="1"/>
  <c r="F18" i="20"/>
  <c r="T15" i="2"/>
  <c r="F17" i="20"/>
  <c r="F16" i="20"/>
  <c r="F15" i="20"/>
  <c r="T13" i="2" s="1"/>
  <c r="F14" i="20"/>
  <c r="F13" i="20"/>
  <c r="F12" i="20"/>
  <c r="F11" i="20"/>
  <c r="F10" i="20"/>
  <c r="K8" i="20"/>
  <c r="J8" i="20"/>
  <c r="I8" i="20"/>
  <c r="H8" i="20"/>
  <c r="G8" i="20"/>
  <c r="F48" i="19"/>
  <c r="S46" i="2" s="1"/>
  <c r="F47" i="19"/>
  <c r="S45" i="2" s="1"/>
  <c r="F46" i="19"/>
  <c r="S44" i="2" s="1"/>
  <c r="F45" i="19"/>
  <c r="F44" i="19"/>
  <c r="S42" i="2" s="1"/>
  <c r="F43" i="19"/>
  <c r="S41" i="2" s="1"/>
  <c r="F42" i="19"/>
  <c r="S39" i="2"/>
  <c r="F41" i="19"/>
  <c r="F40" i="19"/>
  <c r="F39" i="19"/>
  <c r="F38" i="19"/>
  <c r="F37" i="19"/>
  <c r="F36" i="19"/>
  <c r="S34" i="2" s="1"/>
  <c r="F35" i="19"/>
  <c r="F34" i="19"/>
  <c r="F33" i="19"/>
  <c r="S31" i="2" s="1"/>
  <c r="F32" i="19"/>
  <c r="S30" i="2" s="1"/>
  <c r="F31" i="19"/>
  <c r="F30" i="19"/>
  <c r="F29" i="19"/>
  <c r="F28" i="19"/>
  <c r="F27" i="19"/>
  <c r="F26" i="19"/>
  <c r="F25" i="19"/>
  <c r="F24" i="19"/>
  <c r="F23" i="19"/>
  <c r="S20" i="2"/>
  <c r="F22" i="19"/>
  <c r="F21" i="19"/>
  <c r="S19" i="2" s="1"/>
  <c r="F20" i="19"/>
  <c r="S18" i="2" s="1"/>
  <c r="S17" i="2"/>
  <c r="F19" i="19"/>
  <c r="F18" i="19"/>
  <c r="F17" i="19"/>
  <c r="S15" i="2" s="1"/>
  <c r="F16" i="19"/>
  <c r="F15" i="19"/>
  <c r="F14" i="19"/>
  <c r="F13" i="19"/>
  <c r="F12" i="19"/>
  <c r="F11" i="19"/>
  <c r="F10" i="19"/>
  <c r="K8" i="19"/>
  <c r="J8" i="19"/>
  <c r="I8" i="19"/>
  <c r="H8" i="19"/>
  <c r="G8" i="19"/>
  <c r="F48" i="18"/>
  <c r="R45" i="2"/>
  <c r="F47" i="18"/>
  <c r="F46" i="18"/>
  <c r="R44" i="2" s="1"/>
  <c r="F45" i="18"/>
  <c r="R43" i="2" s="1"/>
  <c r="F44" i="18"/>
  <c r="R42" i="2" s="1"/>
  <c r="F43" i="18"/>
  <c r="F42" i="18"/>
  <c r="R40" i="2" s="1"/>
  <c r="F41" i="18"/>
  <c r="R38" i="2"/>
  <c r="F40" i="18"/>
  <c r="F39" i="18"/>
  <c r="F38" i="18"/>
  <c r="F37" i="18"/>
  <c r="F36" i="18"/>
  <c r="R34" i="2" s="1"/>
  <c r="F35" i="18"/>
  <c r="R32" i="2"/>
  <c r="F34" i="18"/>
  <c r="F33" i="18"/>
  <c r="F32" i="18"/>
  <c r="R30" i="2" s="1"/>
  <c r="F31" i="18"/>
  <c r="R29" i="2" s="1"/>
  <c r="R28" i="2"/>
  <c r="F30" i="18"/>
  <c r="R27" i="2"/>
  <c r="F29" i="18"/>
  <c r="F28" i="18"/>
  <c r="F27" i="18"/>
  <c r="F26" i="18"/>
  <c r="F25" i="18"/>
  <c r="F24" i="18"/>
  <c r="F23" i="18"/>
  <c r="F22" i="18"/>
  <c r="R20" i="2" s="1"/>
  <c r="F21" i="18"/>
  <c r="R18" i="2"/>
  <c r="F20" i="18"/>
  <c r="F19" i="18"/>
  <c r="R17" i="2" s="1"/>
  <c r="F18" i="18"/>
  <c r="R16" i="2" s="1"/>
  <c r="F17" i="18"/>
  <c r="R15" i="2" s="1"/>
  <c r="F16" i="18"/>
  <c r="F15" i="18"/>
  <c r="F14" i="18"/>
  <c r="F13" i="18"/>
  <c r="F12" i="18"/>
  <c r="F11" i="18"/>
  <c r="F10" i="18"/>
  <c r="K8" i="18"/>
  <c r="J8" i="18"/>
  <c r="I8" i="18"/>
  <c r="H8" i="18"/>
  <c r="G8" i="18"/>
  <c r="K50" i="17"/>
  <c r="J50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Q32" i="2" s="1"/>
  <c r="F33" i="17"/>
  <c r="F32" i="17"/>
  <c r="F31" i="17"/>
  <c r="F30" i="17"/>
  <c r="F29" i="17"/>
  <c r="F28" i="17"/>
  <c r="F27" i="17"/>
  <c r="F26" i="17"/>
  <c r="F25" i="17"/>
  <c r="Q23" i="2" s="1"/>
  <c r="F24" i="17"/>
  <c r="Q22" i="2" s="1"/>
  <c r="F23" i="17"/>
  <c r="F22" i="17"/>
  <c r="Q20" i="2" s="1"/>
  <c r="F21" i="17"/>
  <c r="F20" i="17"/>
  <c r="F19" i="17"/>
  <c r="Q17" i="2" s="1"/>
  <c r="F18" i="17"/>
  <c r="Q16" i="2" s="1"/>
  <c r="F17" i="17"/>
  <c r="Q15" i="2" s="1"/>
  <c r="F16" i="17"/>
  <c r="F15" i="17"/>
  <c r="F14" i="17"/>
  <c r="F13" i="17"/>
  <c r="F12" i="17"/>
  <c r="F11" i="17"/>
  <c r="F10" i="17"/>
  <c r="K8" i="17"/>
  <c r="J8" i="17"/>
  <c r="I8" i="17"/>
  <c r="H8" i="17"/>
  <c r="G8" i="17"/>
  <c r="F48" i="16"/>
  <c r="P46" i="2" s="1"/>
  <c r="F47" i="16"/>
  <c r="P44" i="2"/>
  <c r="F46" i="16"/>
  <c r="F45" i="16"/>
  <c r="P43" i="2" s="1"/>
  <c r="F44" i="16"/>
  <c r="F43" i="16"/>
  <c r="F42" i="16"/>
  <c r="P40" i="2" s="1"/>
  <c r="F41" i="16"/>
  <c r="P39" i="2" s="1"/>
  <c r="F40" i="16"/>
  <c r="F39" i="16"/>
  <c r="F38" i="16"/>
  <c r="F37" i="16"/>
  <c r="F36" i="16"/>
  <c r="P34" i="2" s="1"/>
  <c r="F35" i="16"/>
  <c r="F34" i="16"/>
  <c r="P32" i="2" s="1"/>
  <c r="F33" i="16"/>
  <c r="F32" i="16"/>
  <c r="P30" i="2" s="1"/>
  <c r="F31" i="16"/>
  <c r="P29" i="2" s="1"/>
  <c r="F30" i="16"/>
  <c r="F29" i="16"/>
  <c r="P26" i="2"/>
  <c r="F28" i="16"/>
  <c r="F27" i="16"/>
  <c r="F26" i="16"/>
  <c r="F25" i="16"/>
  <c r="F24" i="16"/>
  <c r="F23" i="16"/>
  <c r="F22" i="16"/>
  <c r="P20" i="2" s="1"/>
  <c r="F21" i="16"/>
  <c r="F20" i="16"/>
  <c r="F19" i="16"/>
  <c r="P17" i="2" s="1"/>
  <c r="F18" i="16"/>
  <c r="P16" i="2" s="1"/>
  <c r="F17" i="16"/>
  <c r="F16" i="16"/>
  <c r="F15" i="16"/>
  <c r="P13" i="2" s="1"/>
  <c r="F14" i="16"/>
  <c r="F13" i="16"/>
  <c r="P11" i="2" s="1"/>
  <c r="F12" i="16"/>
  <c r="P10" i="2" s="1"/>
  <c r="P9" i="2"/>
  <c r="F11" i="16"/>
  <c r="P8" i="2"/>
  <c r="F10" i="16"/>
  <c r="K8" i="16"/>
  <c r="J8" i="16"/>
  <c r="I8" i="16"/>
  <c r="H8" i="16"/>
  <c r="G8" i="16"/>
  <c r="F48" i="15"/>
  <c r="O46" i="2" s="1"/>
  <c r="F47" i="15"/>
  <c r="O45" i="2" s="1"/>
  <c r="F46" i="15"/>
  <c r="O44" i="2" s="1"/>
  <c r="F45" i="15"/>
  <c r="O43" i="2" s="1"/>
  <c r="F44" i="15"/>
  <c r="O42" i="2" s="1"/>
  <c r="F43" i="15"/>
  <c r="F42" i="15"/>
  <c r="F41" i="15"/>
  <c r="O39" i="2" s="1"/>
  <c r="F40" i="15"/>
  <c r="O38" i="2" s="1"/>
  <c r="O37" i="2"/>
  <c r="F39" i="15"/>
  <c r="F38" i="15"/>
  <c r="O36" i="2" s="1"/>
  <c r="F37" i="15"/>
  <c r="F36" i="15"/>
  <c r="O34" i="2" s="1"/>
  <c r="F35" i="15"/>
  <c r="F34" i="15"/>
  <c r="O32" i="2" s="1"/>
  <c r="O31" i="2"/>
  <c r="F33" i="15"/>
  <c r="F32" i="15"/>
  <c r="O30" i="2" s="1"/>
  <c r="F31" i="15"/>
  <c r="O29" i="2" s="1"/>
  <c r="F30" i="15"/>
  <c r="F29" i="15"/>
  <c r="O27" i="2" s="1"/>
  <c r="F28" i="15"/>
  <c r="F27" i="15"/>
  <c r="O25" i="2" s="1"/>
  <c r="F26" i="15"/>
  <c r="O23" i="2"/>
  <c r="F25" i="15"/>
  <c r="F24" i="15"/>
  <c r="F23" i="15"/>
  <c r="F22" i="15"/>
  <c r="O20" i="2" s="1"/>
  <c r="F21" i="15"/>
  <c r="F20" i="15"/>
  <c r="O18" i="2" s="1"/>
  <c r="F19" i="15"/>
  <c r="O17" i="2" s="1"/>
  <c r="F18" i="15"/>
  <c r="F17" i="15"/>
  <c r="F16" i="15"/>
  <c r="O14" i="2" s="1"/>
  <c r="F15" i="15"/>
  <c r="F14" i="15"/>
  <c r="F13" i="15"/>
  <c r="F12" i="15"/>
  <c r="O10" i="2" s="1"/>
  <c r="F11" i="15"/>
  <c r="F10" i="15"/>
  <c r="K8" i="15"/>
  <c r="J8" i="15"/>
  <c r="I8" i="15"/>
  <c r="H8" i="15"/>
  <c r="G8" i="15"/>
  <c r="F48" i="14"/>
  <c r="F47" i="14"/>
  <c r="F46" i="14"/>
  <c r="F45" i="14"/>
  <c r="N43" i="2" s="1"/>
  <c r="F44" i="14"/>
  <c r="F43" i="14"/>
  <c r="F42" i="14"/>
  <c r="F41" i="14"/>
  <c r="F40" i="14"/>
  <c r="F39" i="14"/>
  <c r="F38" i="14"/>
  <c r="F37" i="14"/>
  <c r="F36" i="14"/>
  <c r="N34" i="2" s="1"/>
  <c r="F35" i="14"/>
  <c r="N33" i="2" s="1"/>
  <c r="F34" i="14"/>
  <c r="N32" i="2" s="1"/>
  <c r="F33" i="14"/>
  <c r="F32" i="14"/>
  <c r="N30" i="2" s="1"/>
  <c r="F31" i="14"/>
  <c r="F30" i="14"/>
  <c r="F29" i="14"/>
  <c r="F28" i="14"/>
  <c r="F27" i="14"/>
  <c r="N25" i="2" s="1"/>
  <c r="F26" i="14"/>
  <c r="F25" i="14"/>
  <c r="N23" i="2" s="1"/>
  <c r="F24" i="14"/>
  <c r="N22" i="2" s="1"/>
  <c r="F23" i="14"/>
  <c r="N20" i="2"/>
  <c r="F22" i="14"/>
  <c r="F21" i="14"/>
  <c r="F20" i="14"/>
  <c r="F19" i="14"/>
  <c r="F18" i="14"/>
  <c r="N16" i="2" s="1"/>
  <c r="F17" i="14"/>
  <c r="N15" i="2" s="1"/>
  <c r="F16" i="14"/>
  <c r="N14" i="2" s="1"/>
  <c r="F15" i="14"/>
  <c r="F14" i="14"/>
  <c r="N11" i="2"/>
  <c r="F13" i="14"/>
  <c r="N10" i="2"/>
  <c r="F12" i="14"/>
  <c r="F11" i="14"/>
  <c r="F10" i="14"/>
  <c r="K8" i="14"/>
  <c r="J8" i="14"/>
  <c r="I8" i="14"/>
  <c r="H8" i="14"/>
  <c r="G8" i="14"/>
  <c r="F48" i="13"/>
  <c r="M46" i="2" s="1"/>
  <c r="M45" i="2"/>
  <c r="F47" i="13"/>
  <c r="F46" i="13"/>
  <c r="M44" i="2" s="1"/>
  <c r="F45" i="13"/>
  <c r="F44" i="13"/>
  <c r="F43" i="13"/>
  <c r="F42" i="13"/>
  <c r="F41" i="13"/>
  <c r="F40" i="13"/>
  <c r="M37" i="2"/>
  <c r="F39" i="13"/>
  <c r="F38" i="13"/>
  <c r="F37" i="13"/>
  <c r="F36" i="13"/>
  <c r="F35" i="13"/>
  <c r="M33" i="2" s="1"/>
  <c r="F34" i="13"/>
  <c r="M32" i="2" s="1"/>
  <c r="F33" i="13"/>
  <c r="F32" i="13"/>
  <c r="M30" i="2" s="1"/>
  <c r="F31" i="13"/>
  <c r="F30" i="13"/>
  <c r="F29" i="13"/>
  <c r="F28" i="13"/>
  <c r="F27" i="13"/>
  <c r="F26" i="13"/>
  <c r="F25" i="13"/>
  <c r="M23" i="2" s="1"/>
  <c r="M22" i="2"/>
  <c r="F24" i="13"/>
  <c r="F23" i="13"/>
  <c r="F22" i="13"/>
  <c r="F21" i="13"/>
  <c r="M19" i="2" s="1"/>
  <c r="F20" i="13"/>
  <c r="F19" i="13"/>
  <c r="M17" i="2" s="1"/>
  <c r="F18" i="13"/>
  <c r="M16" i="2" s="1"/>
  <c r="F17" i="13"/>
  <c r="F16" i="13"/>
  <c r="F15" i="13"/>
  <c r="F14" i="13"/>
  <c r="F13" i="13"/>
  <c r="F12" i="13"/>
  <c r="F11" i="13"/>
  <c r="M9" i="2" s="1"/>
  <c r="F10" i="13"/>
  <c r="M8" i="2" s="1"/>
  <c r="K8" i="13"/>
  <c r="J8" i="13"/>
  <c r="I8" i="13"/>
  <c r="H8" i="13"/>
  <c r="G8" i="13"/>
  <c r="F48" i="12"/>
  <c r="L46" i="2" s="1"/>
  <c r="F47" i="12"/>
  <c r="L45" i="2" s="1"/>
  <c r="L44" i="2"/>
  <c r="F46" i="12"/>
  <c r="F45" i="12"/>
  <c r="L43" i="2" s="1"/>
  <c r="F44" i="12"/>
  <c r="L42" i="2" s="1"/>
  <c r="F43" i="12"/>
  <c r="F42" i="12"/>
  <c r="F41" i="12"/>
  <c r="F40" i="12"/>
  <c r="L38" i="2" s="1"/>
  <c r="F39" i="12"/>
  <c r="L37" i="2" s="1"/>
  <c r="F38" i="12"/>
  <c r="L36" i="2" s="1"/>
  <c r="F37" i="12"/>
  <c r="F36" i="12"/>
  <c r="L34" i="2" s="1"/>
  <c r="F35" i="12"/>
  <c r="L33" i="2" s="1"/>
  <c r="F34" i="12"/>
  <c r="L32" i="2" s="1"/>
  <c r="F33" i="12"/>
  <c r="L31" i="2" s="1"/>
  <c r="F32" i="12"/>
  <c r="L30" i="2" s="1"/>
  <c r="F31" i="12"/>
  <c r="L29" i="2" s="1"/>
  <c r="F30" i="12"/>
  <c r="L28" i="2" s="1"/>
  <c r="F29" i="12"/>
  <c r="F28" i="12"/>
  <c r="F27" i="12"/>
  <c r="L25" i="2" s="1"/>
  <c r="F26" i="12"/>
  <c r="L24" i="2" s="1"/>
  <c r="F25" i="12"/>
  <c r="F24" i="12"/>
  <c r="L22" i="2" s="1"/>
  <c r="F23" i="12"/>
  <c r="F22" i="12"/>
  <c r="L20" i="2" s="1"/>
  <c r="F21" i="12"/>
  <c r="L19" i="2" s="1"/>
  <c r="F20" i="12"/>
  <c r="L18" i="2" s="1"/>
  <c r="L17" i="2"/>
  <c r="F19" i="12"/>
  <c r="F18" i="12"/>
  <c r="L16" i="2" s="1"/>
  <c r="F17" i="12"/>
  <c r="F16" i="12"/>
  <c r="F15" i="12"/>
  <c r="L13" i="2" s="1"/>
  <c r="F14" i="12"/>
  <c r="L12" i="2" s="1"/>
  <c r="F13" i="12"/>
  <c r="L11" i="2" s="1"/>
  <c r="F12" i="12"/>
  <c r="L10" i="2" s="1"/>
  <c r="F11" i="12"/>
  <c r="L9" i="2" s="1"/>
  <c r="F10" i="12"/>
  <c r="K8" i="12"/>
  <c r="J8" i="12"/>
  <c r="I8" i="12"/>
  <c r="H8" i="12"/>
  <c r="G8" i="12"/>
  <c r="F48" i="11"/>
  <c r="F47" i="11"/>
  <c r="K45" i="2" s="1"/>
  <c r="F46" i="11"/>
  <c r="K44" i="2" s="1"/>
  <c r="F45" i="11"/>
  <c r="F44" i="11"/>
  <c r="F43" i="11"/>
  <c r="F42" i="11"/>
  <c r="F41" i="11"/>
  <c r="F40" i="11"/>
  <c r="F39" i="11"/>
  <c r="F38" i="11"/>
  <c r="F37" i="11"/>
  <c r="K35" i="2" s="1"/>
  <c r="F36" i="11"/>
  <c r="F35" i="11"/>
  <c r="F34" i="11"/>
  <c r="K32" i="2" s="1"/>
  <c r="F33" i="11"/>
  <c r="F32" i="11"/>
  <c r="F31" i="11"/>
  <c r="F30" i="11"/>
  <c r="F29" i="11"/>
  <c r="F28" i="11"/>
  <c r="F27" i="11"/>
  <c r="F26" i="11"/>
  <c r="K24" i="2" s="1"/>
  <c r="F25" i="11"/>
  <c r="K23" i="2" s="1"/>
  <c r="F24" i="11"/>
  <c r="K22" i="2" s="1"/>
  <c r="F23" i="11"/>
  <c r="F22" i="11"/>
  <c r="F21" i="11"/>
  <c r="F20" i="11"/>
  <c r="K18" i="2" s="1"/>
  <c r="F19" i="11"/>
  <c r="F18" i="11"/>
  <c r="F17" i="11"/>
  <c r="F16" i="11"/>
  <c r="F15" i="11"/>
  <c r="F14" i="11"/>
  <c r="F13" i="11"/>
  <c r="K11" i="2" s="1"/>
  <c r="F12" i="11"/>
  <c r="K10" i="2" s="1"/>
  <c r="F11" i="11"/>
  <c r="K8" i="2"/>
  <c r="F10" i="11"/>
  <c r="K8" i="11"/>
  <c r="J8" i="11"/>
  <c r="I8" i="11"/>
  <c r="H8" i="11"/>
  <c r="G8" i="11"/>
  <c r="F48" i="10"/>
  <c r="J46" i="2" s="1"/>
  <c r="F47" i="10"/>
  <c r="J45" i="2" s="1"/>
  <c r="F46" i="10"/>
  <c r="J44" i="2" s="1"/>
  <c r="F45" i="10"/>
  <c r="F44" i="10"/>
  <c r="F43" i="10"/>
  <c r="F42" i="10"/>
  <c r="F41" i="10"/>
  <c r="F40" i="10"/>
  <c r="F39" i="10"/>
  <c r="F38" i="10"/>
  <c r="F37" i="10"/>
  <c r="J34" i="2"/>
  <c r="F36" i="10"/>
  <c r="F35" i="10"/>
  <c r="F34" i="10"/>
  <c r="F33" i="10"/>
  <c r="J31" i="2" s="1"/>
  <c r="F32" i="10"/>
  <c r="J30" i="2" s="1"/>
  <c r="F31" i="10"/>
  <c r="J29" i="2" s="1"/>
  <c r="F30" i="10"/>
  <c r="F29" i="10"/>
  <c r="J27" i="2" s="1"/>
  <c r="F28" i="10"/>
  <c r="F27" i="10"/>
  <c r="F26" i="10"/>
  <c r="F25" i="10"/>
  <c r="F24" i="10"/>
  <c r="F23" i="10"/>
  <c r="F22" i="10"/>
  <c r="J20" i="2" s="1"/>
  <c r="F21" i="10"/>
  <c r="J19" i="2" s="1"/>
  <c r="F20" i="10"/>
  <c r="J18" i="2" s="1"/>
  <c r="F19" i="10"/>
  <c r="J17" i="2" s="1"/>
  <c r="J16" i="2"/>
  <c r="F18" i="10"/>
  <c r="F17" i="10"/>
  <c r="J15" i="2" s="1"/>
  <c r="F16" i="10"/>
  <c r="J13" i="2"/>
  <c r="F15" i="10"/>
  <c r="F14" i="10"/>
  <c r="J12" i="2" s="1"/>
  <c r="F13" i="10"/>
  <c r="F12" i="10"/>
  <c r="J10" i="2" s="1"/>
  <c r="J9" i="2"/>
  <c r="F11" i="10"/>
  <c r="F10" i="10"/>
  <c r="K8" i="10"/>
  <c r="J8" i="10"/>
  <c r="I8" i="10"/>
  <c r="H8" i="10"/>
  <c r="G8" i="10"/>
  <c r="F48" i="9"/>
  <c r="F47" i="9"/>
  <c r="I45" i="2" s="1"/>
  <c r="F46" i="9"/>
  <c r="I44" i="2" s="1"/>
  <c r="F45" i="9"/>
  <c r="I43" i="2" s="1"/>
  <c r="F44" i="9"/>
  <c r="I42" i="2" s="1"/>
  <c r="F43" i="9"/>
  <c r="F42" i="9"/>
  <c r="F41" i="9"/>
  <c r="F40" i="9"/>
  <c r="F39" i="9"/>
  <c r="F38" i="9"/>
  <c r="F37" i="9"/>
  <c r="F36" i="9"/>
  <c r="I34" i="2" s="1"/>
  <c r="F35" i="9"/>
  <c r="I33" i="2" s="1"/>
  <c r="F34" i="9"/>
  <c r="I32" i="2" s="1"/>
  <c r="F33" i="9"/>
  <c r="I31" i="2" s="1"/>
  <c r="F32" i="9"/>
  <c r="I30" i="2" s="1"/>
  <c r="F31" i="9"/>
  <c r="I29" i="2" s="1"/>
  <c r="F30" i="9"/>
  <c r="F29" i="9"/>
  <c r="F28" i="9"/>
  <c r="F27" i="9"/>
  <c r="F26" i="9"/>
  <c r="F25" i="9"/>
  <c r="F24" i="9"/>
  <c r="F23" i="9"/>
  <c r="I20" i="2"/>
  <c r="F22" i="9"/>
  <c r="F21" i="9"/>
  <c r="I19" i="2" s="1"/>
  <c r="F20" i="9"/>
  <c r="I18" i="2" s="1"/>
  <c r="F19" i="9"/>
  <c r="I17" i="2" s="1"/>
  <c r="F18" i="9"/>
  <c r="F17" i="9"/>
  <c r="I15" i="2" s="1"/>
  <c r="F16" i="9"/>
  <c r="F15" i="9"/>
  <c r="F14" i="9"/>
  <c r="F13" i="9"/>
  <c r="F12" i="9"/>
  <c r="F11" i="9"/>
  <c r="F10" i="9"/>
  <c r="I8" i="2" s="1"/>
  <c r="K8" i="9"/>
  <c r="J8" i="9"/>
  <c r="I8" i="9"/>
  <c r="H8" i="9"/>
  <c r="G8" i="9"/>
  <c r="I50" i="8"/>
  <c r="H50" i="8"/>
  <c r="F48" i="8"/>
  <c r="H46" i="2" s="1"/>
  <c r="F47" i="8"/>
  <c r="H45" i="2" s="1"/>
  <c r="F46" i="8"/>
  <c r="F45" i="8"/>
  <c r="F44" i="8"/>
  <c r="F43" i="8"/>
  <c r="F42" i="8"/>
  <c r="F41" i="8"/>
  <c r="F40" i="8"/>
  <c r="F39" i="8"/>
  <c r="F38" i="8"/>
  <c r="F37" i="8"/>
  <c r="F36" i="8"/>
  <c r="H34" i="2" s="1"/>
  <c r="H33" i="2"/>
  <c r="F35" i="8"/>
  <c r="F34" i="8"/>
  <c r="H31" i="2"/>
  <c r="F33" i="8"/>
  <c r="F32" i="8"/>
  <c r="H30" i="2" s="1"/>
  <c r="F31" i="8"/>
  <c r="F30" i="8"/>
  <c r="F29" i="8"/>
  <c r="F28" i="8"/>
  <c r="F27" i="8"/>
  <c r="F26" i="8"/>
  <c r="H23" i="2"/>
  <c r="F25" i="8"/>
  <c r="F24" i="8"/>
  <c r="H22" i="2" s="1"/>
  <c r="H21" i="2"/>
  <c r="F23" i="8"/>
  <c r="F22" i="8"/>
  <c r="F21" i="8"/>
  <c r="F20" i="8"/>
  <c r="H18" i="2" s="1"/>
  <c r="F19" i="8"/>
  <c r="H17" i="2" s="1"/>
  <c r="F18" i="8"/>
  <c r="H16" i="2" s="1"/>
  <c r="H15" i="2"/>
  <c r="F17" i="8"/>
  <c r="F16" i="8"/>
  <c r="H14" i="2" s="1"/>
  <c r="F15" i="8"/>
  <c r="H13" i="2" s="1"/>
  <c r="F14" i="8"/>
  <c r="H12" i="2" s="1"/>
  <c r="F13" i="8"/>
  <c r="F12" i="8"/>
  <c r="H10" i="2" s="1"/>
  <c r="F11" i="8"/>
  <c r="F10" i="8"/>
  <c r="K8" i="8"/>
  <c r="J8" i="8"/>
  <c r="I8" i="8"/>
  <c r="H8" i="8"/>
  <c r="G8" i="8"/>
  <c r="G46" i="2"/>
  <c r="F48" i="7"/>
  <c r="F47" i="7"/>
  <c r="G45" i="2" s="1"/>
  <c r="F46" i="7"/>
  <c r="F45" i="7"/>
  <c r="G43" i="2" s="1"/>
  <c r="F44" i="7"/>
  <c r="G42" i="2" s="1"/>
  <c r="F43" i="7"/>
  <c r="F42" i="7"/>
  <c r="F41" i="7"/>
  <c r="F40" i="7"/>
  <c r="F39" i="7"/>
  <c r="F38" i="7"/>
  <c r="F37" i="7"/>
  <c r="G35" i="2" s="1"/>
  <c r="F36" i="7"/>
  <c r="F35" i="7"/>
  <c r="G33" i="2" s="1"/>
  <c r="F34" i="7"/>
  <c r="F33" i="7"/>
  <c r="F32" i="7"/>
  <c r="F31" i="7"/>
  <c r="G29" i="2" s="1"/>
  <c r="F30" i="7"/>
  <c r="F29" i="7"/>
  <c r="F28" i="7"/>
  <c r="F27" i="7"/>
  <c r="F26" i="7"/>
  <c r="F25" i="7"/>
  <c r="F24" i="7"/>
  <c r="F23" i="7"/>
  <c r="G21" i="2" s="1"/>
  <c r="F22" i="7"/>
  <c r="F21" i="7"/>
  <c r="G19" i="2" s="1"/>
  <c r="F20" i="7"/>
  <c r="G18" i="2" s="1"/>
  <c r="F19" i="7"/>
  <c r="G17" i="2" s="1"/>
  <c r="F18" i="7"/>
  <c r="F17" i="7"/>
  <c r="F16" i="7"/>
  <c r="F15" i="7"/>
  <c r="F14" i="7"/>
  <c r="G11" i="2"/>
  <c r="F13" i="7"/>
  <c r="F12" i="7"/>
  <c r="F11" i="7"/>
  <c r="F10" i="7"/>
  <c r="K8" i="7"/>
  <c r="J8" i="7"/>
  <c r="I8" i="7"/>
  <c r="H8" i="7"/>
  <c r="G8" i="7"/>
  <c r="F48" i="6"/>
  <c r="F46" i="2" s="1"/>
  <c r="F47" i="6"/>
  <c r="F45" i="2" s="1"/>
  <c r="F46" i="6"/>
  <c r="F44" i="2" s="1"/>
  <c r="F43" i="2"/>
  <c r="F45" i="6"/>
  <c r="F44" i="6"/>
  <c r="F42" i="2" s="1"/>
  <c r="F43" i="6"/>
  <c r="F40" i="2"/>
  <c r="F42" i="6"/>
  <c r="F41" i="6"/>
  <c r="F40" i="6"/>
  <c r="F39" i="6"/>
  <c r="F38" i="6"/>
  <c r="F37" i="6"/>
  <c r="F36" i="6"/>
  <c r="F34" i="2" s="1"/>
  <c r="F33" i="2"/>
  <c r="F35" i="6"/>
  <c r="F34" i="6"/>
  <c r="F33" i="6"/>
  <c r="F31" i="2" s="1"/>
  <c r="F30" i="2"/>
  <c r="F32" i="6"/>
  <c r="F31" i="6"/>
  <c r="F30" i="6"/>
  <c r="F29" i="6"/>
  <c r="F28" i="6"/>
  <c r="F27" i="6"/>
  <c r="F26" i="6"/>
  <c r="F25" i="6"/>
  <c r="F24" i="6"/>
  <c r="F23" i="6"/>
  <c r="F22" i="6"/>
  <c r="F21" i="6"/>
  <c r="F19" i="2" s="1"/>
  <c r="F20" i="6"/>
  <c r="F18" i="2" s="1"/>
  <c r="F17" i="2"/>
  <c r="F19" i="6"/>
  <c r="F18" i="6"/>
  <c r="F16" i="2" s="1"/>
  <c r="F17" i="6"/>
  <c r="F15" i="2" s="1"/>
  <c r="F16" i="6"/>
  <c r="F15" i="6"/>
  <c r="F14" i="6"/>
  <c r="F13" i="6"/>
  <c r="F12" i="6"/>
  <c r="F11" i="6"/>
  <c r="F10" i="6"/>
  <c r="K8" i="6"/>
  <c r="J8" i="6"/>
  <c r="I8" i="6"/>
  <c r="H8" i="6"/>
  <c r="G8" i="6"/>
  <c r="F48" i="5"/>
  <c r="E46" i="2" s="1"/>
  <c r="F47" i="5"/>
  <c r="E45" i="2" s="1"/>
  <c r="F46" i="5"/>
  <c r="E44" i="2" s="1"/>
  <c r="F45" i="5"/>
  <c r="F44" i="5"/>
  <c r="F43" i="5"/>
  <c r="F42" i="5"/>
  <c r="F41" i="5"/>
  <c r="F40" i="5"/>
  <c r="F39" i="5"/>
  <c r="F38" i="5"/>
  <c r="E36" i="2" s="1"/>
  <c r="F37" i="5"/>
  <c r="F36" i="5"/>
  <c r="F35" i="5"/>
  <c r="E33" i="2" s="1"/>
  <c r="F34" i="5"/>
  <c r="E32" i="2" s="1"/>
  <c r="F33" i="5"/>
  <c r="E31" i="2" s="1"/>
  <c r="F32" i="5"/>
  <c r="F31" i="5"/>
  <c r="E29" i="2" s="1"/>
  <c r="F30" i="5"/>
  <c r="F29" i="5"/>
  <c r="F28" i="5"/>
  <c r="F27" i="5"/>
  <c r="F26" i="5"/>
  <c r="F25" i="5"/>
  <c r="F24" i="5"/>
  <c r="E21" i="2"/>
  <c r="F23" i="5"/>
  <c r="F22" i="5"/>
  <c r="F21" i="5"/>
  <c r="E19" i="2" s="1"/>
  <c r="E18" i="2"/>
  <c r="F20" i="5"/>
  <c r="F19" i="5"/>
  <c r="F18" i="5"/>
  <c r="E16" i="2" s="1"/>
  <c r="F17" i="5"/>
  <c r="F16" i="5"/>
  <c r="F15" i="5"/>
  <c r="F14" i="5"/>
  <c r="E12" i="2" s="1"/>
  <c r="F13" i="5"/>
  <c r="F12" i="5"/>
  <c r="E10" i="2" s="1"/>
  <c r="F11" i="5"/>
  <c r="F10" i="5"/>
  <c r="K8" i="5"/>
  <c r="J8" i="5"/>
  <c r="I8" i="5"/>
  <c r="H8" i="5"/>
  <c r="G8" i="5"/>
  <c r="F48" i="4"/>
  <c r="L48" i="4" s="1"/>
  <c r="F47" i="4"/>
  <c r="L47" i="4" s="1"/>
  <c r="D45" i="2" s="1"/>
  <c r="L46" i="4"/>
  <c r="D44" i="2" s="1"/>
  <c r="F46" i="4"/>
  <c r="F45" i="4"/>
  <c r="L45" i="4" s="1"/>
  <c r="D43" i="2" s="1"/>
  <c r="F44" i="4"/>
  <c r="L44" i="4" s="1"/>
  <c r="D42" i="2" s="1"/>
  <c r="F43" i="4"/>
  <c r="L43" i="4" s="1"/>
  <c r="D41" i="2" s="1"/>
  <c r="L42" i="4"/>
  <c r="D40" i="2" s="1"/>
  <c r="F42" i="4"/>
  <c r="F41" i="4"/>
  <c r="L41" i="4" s="1"/>
  <c r="D39" i="2" s="1"/>
  <c r="L40" i="4"/>
  <c r="D38" i="2" s="1"/>
  <c r="F40" i="4"/>
  <c r="F39" i="4"/>
  <c r="L39" i="4" s="1"/>
  <c r="F38" i="4"/>
  <c r="L38" i="4" s="1"/>
  <c r="D36" i="2" s="1"/>
  <c r="F37" i="4"/>
  <c r="L37" i="4" s="1"/>
  <c r="D35" i="2" s="1"/>
  <c r="F36" i="4"/>
  <c r="L36" i="4" s="1"/>
  <c r="D34" i="2" s="1"/>
  <c r="L35" i="4"/>
  <c r="D33" i="2" s="1"/>
  <c r="F35" i="4"/>
  <c r="F34" i="4"/>
  <c r="L34" i="4" s="1"/>
  <c r="D32" i="2" s="1"/>
  <c r="L33" i="4"/>
  <c r="D31" i="2" s="1"/>
  <c r="F33" i="4"/>
  <c r="F32" i="4"/>
  <c r="L32" i="4" s="1"/>
  <c r="D30" i="2" s="1"/>
  <c r="F31" i="4"/>
  <c r="L31" i="4" s="1"/>
  <c r="F30" i="4"/>
  <c r="L30" i="4" s="1"/>
  <c r="F29" i="4"/>
  <c r="L29" i="4" s="1"/>
  <c r="D27" i="2" s="1"/>
  <c r="F28" i="4"/>
  <c r="L28" i="4" s="1"/>
  <c r="D26" i="2" s="1"/>
  <c r="F27" i="4"/>
  <c r="L27" i="4" s="1"/>
  <c r="D25" i="2" s="1"/>
  <c r="F26" i="4"/>
  <c r="L26" i="4" s="1"/>
  <c r="D24" i="2" s="1"/>
  <c r="F25" i="4"/>
  <c r="L25" i="4" s="1"/>
  <c r="L24" i="4"/>
  <c r="D22" i="2" s="1"/>
  <c r="F24" i="4"/>
  <c r="F23" i="4"/>
  <c r="L23" i="4" s="1"/>
  <c r="D21" i="2" s="1"/>
  <c r="L22" i="4"/>
  <c r="D20" i="2" s="1"/>
  <c r="F22" i="4"/>
  <c r="F21" i="4"/>
  <c r="L21" i="4" s="1"/>
  <c r="F20" i="4"/>
  <c r="L20" i="4" s="1"/>
  <c r="D18" i="2" s="1"/>
  <c r="F19" i="4"/>
  <c r="L19" i="4" s="1"/>
  <c r="F18" i="4"/>
  <c r="L18" i="4" s="1"/>
  <c r="D16" i="2" s="1"/>
  <c r="F17" i="4"/>
  <c r="L17" i="4" s="1"/>
  <c r="L16" i="4"/>
  <c r="F16" i="4"/>
  <c r="L15" i="4"/>
  <c r="F15" i="4"/>
  <c r="F14" i="4"/>
  <c r="L14" i="4" s="1"/>
  <c r="D12" i="2" s="1"/>
  <c r="F13" i="4"/>
  <c r="L13" i="4" s="1"/>
  <c r="D11" i="2" s="1"/>
  <c r="F12" i="4"/>
  <c r="L12" i="4" s="1"/>
  <c r="D10" i="2" s="1"/>
  <c r="F11" i="4"/>
  <c r="L11" i="4" s="1"/>
  <c r="D9" i="2" s="1"/>
  <c r="L10" i="4"/>
  <c r="D8" i="2" s="1"/>
  <c r="F10" i="4"/>
  <c r="K8" i="4"/>
  <c r="J8" i="4"/>
  <c r="I8" i="4"/>
  <c r="H8" i="4"/>
  <c r="G8" i="4"/>
  <c r="BA46" i="2"/>
  <c r="AZ46" i="2"/>
  <c r="AW46" i="2"/>
  <c r="AV46" i="2"/>
  <c r="AU46" i="2"/>
  <c r="AT46" i="2"/>
  <c r="AM46" i="2"/>
  <c r="AJ46" i="2"/>
  <c r="AH46" i="2"/>
  <c r="AF46" i="2"/>
  <c r="AE46" i="2"/>
  <c r="AD46" i="2"/>
  <c r="AC46" i="2"/>
  <c r="Y46" i="2"/>
  <c r="U46" i="2"/>
  <c r="R46" i="2"/>
  <c r="Q46" i="2"/>
  <c r="N46" i="2"/>
  <c r="K46" i="2"/>
  <c r="D46" i="2"/>
  <c r="AX45" i="2"/>
  <c r="AV45" i="2"/>
  <c r="AU45" i="2"/>
  <c r="AT45" i="2"/>
  <c r="AS45" i="2"/>
  <c r="AO45" i="2"/>
  <c r="AN45" i="2"/>
  <c r="AH45" i="2"/>
  <c r="AG45" i="2"/>
  <c r="AF45" i="2"/>
  <c r="AD45" i="2"/>
  <c r="AC45" i="2"/>
  <c r="AB45" i="2"/>
  <c r="AA45" i="2"/>
  <c r="Z45" i="2"/>
  <c r="W45" i="2"/>
  <c r="T45" i="2"/>
  <c r="Q45" i="2"/>
  <c r="P45" i="2"/>
  <c r="N45" i="2"/>
  <c r="BA44" i="2"/>
  <c r="AZ44" i="2"/>
  <c r="AW44" i="2"/>
  <c r="AV44" i="2"/>
  <c r="AU44" i="2"/>
  <c r="AS44" i="2"/>
  <c r="AR44" i="2"/>
  <c r="AQ44" i="2"/>
  <c r="AP44" i="2"/>
  <c r="AI44" i="2"/>
  <c r="AG44" i="2"/>
  <c r="AD44" i="2"/>
  <c r="Z44" i="2"/>
  <c r="Y44" i="2"/>
  <c r="X44" i="2"/>
  <c r="V44" i="2"/>
  <c r="Q44" i="2"/>
  <c r="N44" i="2"/>
  <c r="H44" i="2"/>
  <c r="BA43" i="2"/>
  <c r="AX43" i="2"/>
  <c r="AQ43" i="2"/>
  <c r="AP43" i="2"/>
  <c r="AO43" i="2"/>
  <c r="AN43" i="2"/>
  <c r="AJ43" i="2"/>
  <c r="AI43" i="2"/>
  <c r="AH43" i="2"/>
  <c r="AE43" i="2"/>
  <c r="AA43" i="2"/>
  <c r="V43" i="2"/>
  <c r="Q43" i="2"/>
  <c r="J43" i="2"/>
  <c r="AZ42" i="2"/>
  <c r="AU42" i="2"/>
  <c r="AT42" i="2"/>
  <c r="AS42" i="2"/>
  <c r="AQ42" i="2"/>
  <c r="AO42" i="2"/>
  <c r="AN42" i="2"/>
  <c r="X42" i="2"/>
  <c r="V42" i="2"/>
  <c r="T42" i="2"/>
  <c r="Q42" i="2"/>
  <c r="P42" i="2"/>
  <c r="AX41" i="2"/>
  <c r="AL41" i="2"/>
  <c r="AK41" i="2"/>
  <c r="R41" i="2"/>
  <c r="P41" i="2"/>
  <c r="O41" i="2"/>
  <c r="L41" i="2"/>
  <c r="J41" i="2"/>
  <c r="G41" i="2"/>
  <c r="F41" i="2"/>
  <c r="AY40" i="2"/>
  <c r="AU40" i="2"/>
  <c r="AQ40" i="2"/>
  <c r="AK40" i="2"/>
  <c r="AD40" i="2"/>
  <c r="AC40" i="2"/>
  <c r="Y40" i="2"/>
  <c r="W40" i="2"/>
  <c r="AW39" i="2"/>
  <c r="AS39" i="2"/>
  <c r="AF39" i="2"/>
  <c r="AB39" i="2"/>
  <c r="Y39" i="2"/>
  <c r="W39" i="2"/>
  <c r="R39" i="2"/>
  <c r="L39" i="2"/>
  <c r="I39" i="2"/>
  <c r="G39" i="2"/>
  <c r="AX38" i="2"/>
  <c r="AP38" i="2"/>
  <c r="AB38" i="2"/>
  <c r="K38" i="2"/>
  <c r="AV37" i="2"/>
  <c r="AU37" i="2"/>
  <c r="AQ37" i="2"/>
  <c r="AP37" i="2"/>
  <c r="S37" i="2"/>
  <c r="N37" i="2"/>
  <c r="K37" i="2"/>
  <c r="D37" i="2"/>
  <c r="AZ36" i="2"/>
  <c r="AU36" i="2"/>
  <c r="AL36" i="2"/>
  <c r="AK36" i="2"/>
  <c r="AJ36" i="2"/>
  <c r="AA36" i="2"/>
  <c r="R36" i="2"/>
  <c r="Q36" i="2"/>
  <c r="M36" i="2"/>
  <c r="K36" i="2"/>
  <c r="AU35" i="2"/>
  <c r="AT35" i="2"/>
  <c r="AR35" i="2"/>
  <c r="AM35" i="2"/>
  <c r="AL35" i="2"/>
  <c r="AK35" i="2"/>
  <c r="AJ35" i="2"/>
  <c r="AA35" i="2"/>
  <c r="Z35" i="2"/>
  <c r="Y35" i="2"/>
  <c r="U35" i="2"/>
  <c r="Q35" i="2"/>
  <c r="M35" i="2"/>
  <c r="BA34" i="2"/>
  <c r="AZ34" i="2"/>
  <c r="AX34" i="2"/>
  <c r="AW34" i="2"/>
  <c r="AR34" i="2"/>
  <c r="AQ34" i="2"/>
  <c r="AO34" i="2"/>
  <c r="AN34" i="2"/>
  <c r="AK34" i="2"/>
  <c r="AH34" i="2"/>
  <c r="AG34" i="2"/>
  <c r="AA34" i="2"/>
  <c r="Y34" i="2"/>
  <c r="V34" i="2"/>
  <c r="U34" i="2"/>
  <c r="Q34" i="2"/>
  <c r="K34" i="2"/>
  <c r="G34" i="2"/>
  <c r="E34" i="2"/>
  <c r="AZ33" i="2"/>
  <c r="AR33" i="2"/>
  <c r="AN33" i="2"/>
  <c r="AL33" i="2"/>
  <c r="AG33" i="2"/>
  <c r="X33" i="2"/>
  <c r="V33" i="2"/>
  <c r="T33" i="2"/>
  <c r="S33" i="2"/>
  <c r="R33" i="2"/>
  <c r="Q33" i="2"/>
  <c r="O33" i="2"/>
  <c r="AX32" i="2"/>
  <c r="AV32" i="2"/>
  <c r="AU32" i="2"/>
  <c r="AS32" i="2"/>
  <c r="AR32" i="2"/>
  <c r="AQ32" i="2"/>
  <c r="AN32" i="2"/>
  <c r="AK32" i="2"/>
  <c r="AA32" i="2"/>
  <c r="Z32" i="2"/>
  <c r="X32" i="2"/>
  <c r="V32" i="2"/>
  <c r="U32" i="2"/>
  <c r="T32" i="2"/>
  <c r="J32" i="2"/>
  <c r="H32" i="2"/>
  <c r="G32" i="2"/>
  <c r="F32" i="2"/>
  <c r="BA31" i="2"/>
  <c r="AX31" i="2"/>
  <c r="AT31" i="2"/>
  <c r="AL31" i="2"/>
  <c r="AK31" i="2"/>
  <c r="AI31" i="2"/>
  <c r="AA31" i="2"/>
  <c r="R31" i="2"/>
  <c r="Q31" i="2"/>
  <c r="P31" i="2"/>
  <c r="N31" i="2"/>
  <c r="M31" i="2"/>
  <c r="K31" i="2"/>
  <c r="G31" i="2"/>
  <c r="AZ30" i="2"/>
  <c r="AX30" i="2"/>
  <c r="AR30" i="2"/>
  <c r="AO30" i="2"/>
  <c r="AL30" i="2"/>
  <c r="AK30" i="2"/>
  <c r="AJ30" i="2"/>
  <c r="AI30" i="2"/>
  <c r="AH30" i="2"/>
  <c r="AF30" i="2"/>
  <c r="AB30" i="2"/>
  <c r="Z30" i="2"/>
  <c r="X30" i="2"/>
  <c r="Q30" i="2"/>
  <c r="E30" i="2"/>
  <c r="BA29" i="2"/>
  <c r="AY29" i="2"/>
  <c r="AX29" i="2"/>
  <c r="AW29" i="2"/>
  <c r="AV29" i="2"/>
  <c r="AR29" i="2"/>
  <c r="AQ29" i="2"/>
  <c r="AP29" i="2"/>
  <c r="AK29" i="2"/>
  <c r="AG29" i="2"/>
  <c r="AF29" i="2"/>
  <c r="AE29" i="2"/>
  <c r="AD29" i="2"/>
  <c r="AB29" i="2"/>
  <c r="Z29" i="2"/>
  <c r="Y29" i="2"/>
  <c r="X29" i="2"/>
  <c r="W29" i="2"/>
  <c r="S29" i="2"/>
  <c r="N29" i="2"/>
  <c r="F29" i="2"/>
  <c r="D29" i="2"/>
  <c r="AZ28" i="2"/>
  <c r="AW28" i="2"/>
  <c r="AT28" i="2"/>
  <c r="AK28" i="2"/>
  <c r="AJ28" i="2"/>
  <c r="AI28" i="2"/>
  <c r="AF28" i="2"/>
  <c r="AE28" i="2"/>
  <c r="Y28" i="2"/>
  <c r="W28" i="2"/>
  <c r="S28" i="2"/>
  <c r="N28" i="2"/>
  <c r="D28" i="2"/>
  <c r="AZ27" i="2"/>
  <c r="AW27" i="2"/>
  <c r="AT27" i="2"/>
  <c r="AO27" i="2"/>
  <c r="AL27" i="2"/>
  <c r="AI27" i="2"/>
  <c r="AF27" i="2"/>
  <c r="AE27" i="2"/>
  <c r="AD27" i="2"/>
  <c r="AC27" i="2"/>
  <c r="AB27" i="2"/>
  <c r="S27" i="2"/>
  <c r="L27" i="2"/>
  <c r="AZ26" i="2"/>
  <c r="AR26" i="2"/>
  <c r="AN26" i="2"/>
  <c r="AE26" i="2"/>
  <c r="AD26" i="2"/>
  <c r="V26" i="2"/>
  <c r="O26" i="2"/>
  <c r="N26" i="2"/>
  <c r="I26" i="2"/>
  <c r="H26" i="2"/>
  <c r="AX25" i="2"/>
  <c r="AS25" i="2"/>
  <c r="AQ25" i="2"/>
  <c r="AO25" i="2"/>
  <c r="AN25" i="2"/>
  <c r="AM25" i="2"/>
  <c r="P25" i="2"/>
  <c r="G25" i="2"/>
  <c r="AZ24" i="2"/>
  <c r="AU24" i="2"/>
  <c r="AS24" i="2"/>
  <c r="AM24" i="2"/>
  <c r="AC24" i="2"/>
  <c r="U24" i="2"/>
  <c r="M24" i="2"/>
  <c r="AU23" i="2"/>
  <c r="AR23" i="2"/>
  <c r="AN23" i="2"/>
  <c r="AM23" i="2"/>
  <c r="AK23" i="2"/>
  <c r="AG23" i="2"/>
  <c r="AF23" i="2"/>
  <c r="AD23" i="2"/>
  <c r="U23" i="2"/>
  <c r="P23" i="2"/>
  <c r="D23" i="2"/>
  <c r="AE22" i="2"/>
  <c r="AA22" i="2"/>
  <c r="U22" i="2"/>
  <c r="T22" i="2"/>
  <c r="E22" i="2"/>
  <c r="BA21" i="2"/>
  <c r="AZ21" i="2"/>
  <c r="AR21" i="2"/>
  <c r="AP21" i="2"/>
  <c r="AO21" i="2"/>
  <c r="AN21" i="2"/>
  <c r="AL21" i="2"/>
  <c r="AH21" i="2"/>
  <c r="AF21" i="2"/>
  <c r="AA21" i="2"/>
  <c r="V21" i="2"/>
  <c r="R21" i="2"/>
  <c r="Q21" i="2"/>
  <c r="M21" i="2"/>
  <c r="K21" i="2"/>
  <c r="AX20" i="2"/>
  <c r="AW20" i="2"/>
  <c r="AV20" i="2"/>
  <c r="AT20" i="2"/>
  <c r="AR20" i="2"/>
  <c r="AP20" i="2"/>
  <c r="AO20" i="2"/>
  <c r="AH20" i="2"/>
  <c r="AF20" i="2"/>
  <c r="AD20" i="2"/>
  <c r="AC20" i="2"/>
  <c r="AB20" i="2"/>
  <c r="AA20" i="2"/>
  <c r="Z20" i="2"/>
  <c r="X20" i="2"/>
  <c r="T20" i="2"/>
  <c r="H20" i="2"/>
  <c r="G20" i="2"/>
  <c r="F20" i="2"/>
  <c r="AT19" i="2"/>
  <c r="AP19" i="2"/>
  <c r="AJ19" i="2"/>
  <c r="AI19" i="2"/>
  <c r="AD19" i="2"/>
  <c r="AB19" i="2"/>
  <c r="R19" i="2"/>
  <c r="Q19" i="2"/>
  <c r="N19" i="2"/>
  <c r="D19" i="2"/>
  <c r="AW18" i="2"/>
  <c r="AU18" i="2"/>
  <c r="AT18" i="2"/>
  <c r="AS18" i="2"/>
  <c r="AK18" i="2"/>
  <c r="AJ18" i="2"/>
  <c r="AI18" i="2"/>
  <c r="AH18" i="2"/>
  <c r="AF18" i="2"/>
  <c r="AC18" i="2"/>
  <c r="AB18" i="2"/>
  <c r="AA18" i="2"/>
  <c r="W18" i="2"/>
  <c r="V18" i="2"/>
  <c r="U18" i="2"/>
  <c r="Q18" i="2"/>
  <c r="P18" i="2"/>
  <c r="M18" i="2"/>
  <c r="BA17" i="2"/>
  <c r="AZ17" i="2"/>
  <c r="AY17" i="2"/>
  <c r="AQ17" i="2"/>
  <c r="AP17" i="2"/>
  <c r="AI17" i="2"/>
  <c r="AH17" i="2"/>
  <c r="AG17" i="2"/>
  <c r="AF17" i="2"/>
  <c r="AE17" i="2"/>
  <c r="AD17" i="2"/>
  <c r="AC17" i="2"/>
  <c r="Z17" i="2"/>
  <c r="Y17" i="2"/>
  <c r="N17" i="2"/>
  <c r="K17" i="2"/>
  <c r="E17" i="2"/>
  <c r="D17" i="2"/>
  <c r="AY16" i="2"/>
  <c r="AX16" i="2"/>
  <c r="AS16" i="2"/>
  <c r="AQ16" i="2"/>
  <c r="AP16" i="2"/>
  <c r="AG16" i="2"/>
  <c r="AF16" i="2"/>
  <c r="AE16" i="2"/>
  <c r="V16" i="2"/>
  <c r="U16" i="2"/>
  <c r="T16" i="2"/>
  <c r="S16" i="2"/>
  <c r="O16" i="2"/>
  <c r="AZ15" i="2"/>
  <c r="AT15" i="2"/>
  <c r="AQ15" i="2"/>
  <c r="AP15" i="2"/>
  <c r="AN15" i="2"/>
  <c r="AI15" i="2"/>
  <c r="AG15" i="2"/>
  <c r="AD15" i="2"/>
  <c r="AB15" i="2"/>
  <c r="Y15" i="2"/>
  <c r="W15" i="2"/>
  <c r="V15" i="2"/>
  <c r="P15" i="2"/>
  <c r="O15" i="2"/>
  <c r="L15" i="2"/>
  <c r="G15" i="2"/>
  <c r="D15" i="2"/>
  <c r="AQ14" i="2"/>
  <c r="AO14" i="2"/>
  <c r="AN14" i="2"/>
  <c r="AJ14" i="2"/>
  <c r="X14" i="2"/>
  <c r="W14" i="2"/>
  <c r="U14" i="2"/>
  <c r="T14" i="2"/>
  <c r="G14" i="2"/>
  <c r="D14" i="2"/>
  <c r="BA13" i="2"/>
  <c r="AU13" i="2"/>
  <c r="AN13" i="2"/>
  <c r="AK13" i="2"/>
  <c r="AJ13" i="2"/>
  <c r="AG13" i="2"/>
  <c r="V13" i="2"/>
  <c r="S13" i="2"/>
  <c r="O13" i="2"/>
  <c r="N13" i="2"/>
  <c r="E13" i="2"/>
  <c r="D13" i="2"/>
  <c r="AU12" i="2"/>
  <c r="AH12" i="2"/>
  <c r="AE12" i="2"/>
  <c r="Z12" i="2"/>
  <c r="P12" i="2"/>
  <c r="G12" i="2"/>
  <c r="AY11" i="2"/>
  <c r="AX11" i="2"/>
  <c r="AW11" i="2"/>
  <c r="AV11" i="2"/>
  <c r="AU11" i="2"/>
  <c r="AS11" i="2"/>
  <c r="AM11" i="2"/>
  <c r="AA11" i="2"/>
  <c r="O11" i="2"/>
  <c r="I11" i="2"/>
  <c r="H11" i="2"/>
  <c r="AM10" i="2"/>
  <c r="AH10" i="2"/>
  <c r="AD10" i="2"/>
  <c r="R10" i="2"/>
  <c r="AZ9" i="2"/>
  <c r="AT9" i="2"/>
  <c r="AJ9" i="2"/>
  <c r="AA9" i="2"/>
  <c r="W9" i="2"/>
  <c r="Q9" i="2"/>
  <c r="F9" i="2"/>
  <c r="Z8" i="2"/>
  <c r="E8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G5" i="2"/>
  <c r="E5" i="2"/>
  <c r="B5" i="2"/>
  <c r="BA19" i="2" l="1"/>
  <c r="BA25" i="2"/>
  <c r="BA27" i="2"/>
  <c r="BA39" i="2"/>
  <c r="BA10" i="2"/>
  <c r="BA23" i="2"/>
  <c r="BA36" i="2"/>
  <c r="BA37" i="2"/>
  <c r="AZ25" i="2"/>
  <c r="AZ38" i="2"/>
  <c r="AZ10" i="2"/>
  <c r="AZ35" i="2"/>
  <c r="AZ11" i="2"/>
  <c r="AZ23" i="2"/>
  <c r="AY23" i="2"/>
  <c r="AW25" i="2"/>
  <c r="AW21" i="2"/>
  <c r="AW33" i="2"/>
  <c r="AW22" i="2"/>
  <c r="AW42" i="2"/>
  <c r="AW23" i="2"/>
  <c r="AV27" i="2"/>
  <c r="AV41" i="2"/>
  <c r="AV42" i="2"/>
  <c r="AV24" i="2"/>
  <c r="AV25" i="2"/>
  <c r="AV36" i="2"/>
  <c r="AU28" i="2"/>
  <c r="AT26" i="2"/>
  <c r="AT22" i="2"/>
  <c r="AT25" i="2"/>
  <c r="AS27" i="2"/>
  <c r="AS28" i="2"/>
  <c r="AS41" i="2"/>
  <c r="AS23" i="2"/>
  <c r="AS36" i="2"/>
  <c r="AS37" i="2"/>
  <c r="AS22" i="2"/>
  <c r="AS13" i="2"/>
  <c r="AS26" i="2"/>
  <c r="AR38" i="2"/>
  <c r="AR28" i="2"/>
  <c r="AR22" i="2"/>
  <c r="AR13" i="2"/>
  <c r="AR25" i="2"/>
  <c r="AR14" i="2"/>
  <c r="AR37" i="2"/>
  <c r="AQ23" i="2"/>
  <c r="AQ10" i="2"/>
  <c r="AQ24" i="2"/>
  <c r="AQ36" i="2"/>
  <c r="AQ11" i="2"/>
  <c r="AQ19" i="2"/>
  <c r="AQ21" i="2"/>
  <c r="BB21" i="2" s="1"/>
  <c r="AQ22" i="2"/>
  <c r="AP41" i="2"/>
  <c r="AP24" i="2"/>
  <c r="AP13" i="2"/>
  <c r="AP27" i="2"/>
  <c r="AP22" i="2"/>
  <c r="AP33" i="2"/>
  <c r="AO12" i="2"/>
  <c r="AO38" i="2"/>
  <c r="AO13" i="2"/>
  <c r="AO39" i="2"/>
  <c r="BB39" i="2" s="1"/>
  <c r="AO9" i="2"/>
  <c r="AO10" i="2"/>
  <c r="AO36" i="2"/>
  <c r="AO23" i="2"/>
  <c r="AO37" i="2"/>
  <c r="AM9" i="2"/>
  <c r="AM12" i="2"/>
  <c r="AM40" i="2"/>
  <c r="AM19" i="2"/>
  <c r="AM20" i="2"/>
  <c r="AM33" i="2"/>
  <c r="AM34" i="2"/>
  <c r="AL11" i="2"/>
  <c r="AL46" i="2"/>
  <c r="AL12" i="2"/>
  <c r="AL43" i="2"/>
  <c r="AL44" i="2"/>
  <c r="AK22" i="2"/>
  <c r="AK39" i="2"/>
  <c r="AK26" i="2"/>
  <c r="AJ42" i="2"/>
  <c r="AI35" i="2"/>
  <c r="AI10" i="2"/>
  <c r="AI24" i="2"/>
  <c r="AI11" i="2"/>
  <c r="AI36" i="2"/>
  <c r="AI12" i="2"/>
  <c r="AI45" i="2"/>
  <c r="BB45" i="2" s="1"/>
  <c r="AI22" i="2"/>
  <c r="AI33" i="2"/>
  <c r="BB33" i="2" s="1"/>
  <c r="AI46" i="2"/>
  <c r="BB46" i="2" s="1"/>
  <c r="AI23" i="2"/>
  <c r="AH25" i="2"/>
  <c r="AH26" i="2"/>
  <c r="AH33" i="2"/>
  <c r="AH23" i="2"/>
  <c r="AG36" i="2"/>
  <c r="AG14" i="2"/>
  <c r="AG28" i="2"/>
  <c r="AG22" i="2"/>
  <c r="AG11" i="2"/>
  <c r="AG38" i="2"/>
  <c r="AG9" i="2"/>
  <c r="AG37" i="2"/>
  <c r="AG25" i="2"/>
  <c r="AF13" i="2"/>
  <c r="AF40" i="2"/>
  <c r="AF22" i="2"/>
  <c r="AF24" i="2"/>
  <c r="AF25" i="2"/>
  <c r="AE35" i="2"/>
  <c r="AE42" i="2"/>
  <c r="AD39" i="2"/>
  <c r="AD30" i="2"/>
  <c r="AD43" i="2"/>
  <c r="AD31" i="2"/>
  <c r="BB31" i="2" s="1"/>
  <c r="AD35" i="2"/>
  <c r="AD25" i="2"/>
  <c r="AD16" i="2"/>
  <c r="BB16" i="2" s="1"/>
  <c r="AD41" i="2"/>
  <c r="AD42" i="2"/>
  <c r="AC23" i="2"/>
  <c r="AC41" i="2"/>
  <c r="AC42" i="2"/>
  <c r="AC33" i="2"/>
  <c r="AC21" i="2"/>
  <c r="AC35" i="2"/>
  <c r="AB22" i="2"/>
  <c r="AB35" i="2"/>
  <c r="AB23" i="2"/>
  <c r="AB8" i="2"/>
  <c r="AA13" i="2"/>
  <c r="AA26" i="2"/>
  <c r="AA39" i="2"/>
  <c r="AA14" i="2"/>
  <c r="AA40" i="2"/>
  <c r="AA23" i="2"/>
  <c r="AA37" i="2"/>
  <c r="AA38" i="2"/>
  <c r="Z28" i="2"/>
  <c r="Z40" i="2"/>
  <c r="Z13" i="2"/>
  <c r="Z37" i="2"/>
  <c r="Z24" i="2"/>
  <c r="Z38" i="2"/>
  <c r="Y22" i="2"/>
  <c r="Y10" i="2"/>
  <c r="Y36" i="2"/>
  <c r="Y19" i="2"/>
  <c r="Y33" i="2"/>
  <c r="Y21" i="2"/>
  <c r="X39" i="2"/>
  <c r="X40" i="2"/>
  <c r="X41" i="2"/>
  <c r="X10" i="2"/>
  <c r="X19" i="2"/>
  <c r="X43" i="2"/>
  <c r="W30" i="2"/>
  <c r="W35" i="2"/>
  <c r="W37" i="2"/>
  <c r="W38" i="2"/>
  <c r="W27" i="2"/>
  <c r="W24" i="2"/>
  <c r="V39" i="2"/>
  <c r="V40" i="2"/>
  <c r="V19" i="2"/>
  <c r="V8" i="2"/>
  <c r="V10" i="2"/>
  <c r="V37" i="2"/>
  <c r="V38" i="2"/>
  <c r="U11" i="2"/>
  <c r="U41" i="2"/>
  <c r="U39" i="2"/>
  <c r="U21" i="2"/>
  <c r="T12" i="2"/>
  <c r="T36" i="2"/>
  <c r="T19" i="2"/>
  <c r="T9" i="2"/>
  <c r="T10" i="2"/>
  <c r="T21" i="2"/>
  <c r="S23" i="2"/>
  <c r="S24" i="2"/>
  <c r="S9" i="2"/>
  <c r="S10" i="2"/>
  <c r="S21" i="2"/>
  <c r="S11" i="2"/>
  <c r="S35" i="2"/>
  <c r="BB35" i="2" s="1"/>
  <c r="S36" i="2"/>
  <c r="R26" i="2"/>
  <c r="R11" i="2"/>
  <c r="R12" i="2"/>
  <c r="R24" i="2"/>
  <c r="R22" i="2"/>
  <c r="R23" i="2"/>
  <c r="Q10" i="2"/>
  <c r="Q29" i="2"/>
  <c r="Q37" i="2"/>
  <c r="Q38" i="2"/>
  <c r="Q12" i="2"/>
  <c r="Q39" i="2"/>
  <c r="Q26" i="2"/>
  <c r="Q40" i="2"/>
  <c r="Q14" i="2"/>
  <c r="Q27" i="2"/>
  <c r="Q41" i="2"/>
  <c r="P14" i="2"/>
  <c r="P24" i="2"/>
  <c r="P37" i="2"/>
  <c r="P21" i="2"/>
  <c r="P35" i="2"/>
  <c r="P22" i="2"/>
  <c r="O9" i="2"/>
  <c r="O35" i="2"/>
  <c r="O19" i="2"/>
  <c r="N41" i="2"/>
  <c r="N40" i="2"/>
  <c r="N42" i="2"/>
  <c r="M20" i="2"/>
  <c r="M14" i="2"/>
  <c r="M27" i="2"/>
  <c r="M12" i="2"/>
  <c r="M38" i="2"/>
  <c r="M13" i="2"/>
  <c r="M39" i="2"/>
  <c r="M28" i="2"/>
  <c r="M41" i="2"/>
  <c r="M26" i="2"/>
  <c r="M29" i="2"/>
  <c r="BB29" i="2" s="1"/>
  <c r="M42" i="2"/>
  <c r="M11" i="2"/>
  <c r="K30" i="2"/>
  <c r="K25" i="2"/>
  <c r="K19" i="2"/>
  <c r="K20" i="2"/>
  <c r="K33" i="2"/>
  <c r="K40" i="2"/>
  <c r="K14" i="2"/>
  <c r="K28" i="2"/>
  <c r="K41" i="2"/>
  <c r="K15" i="2"/>
  <c r="K42" i="2"/>
  <c r="K43" i="2"/>
  <c r="J22" i="2"/>
  <c r="J35" i="2"/>
  <c r="J14" i="2"/>
  <c r="J38" i="2"/>
  <c r="J26" i="2"/>
  <c r="J37" i="2"/>
  <c r="J40" i="2"/>
  <c r="J28" i="2"/>
  <c r="I22" i="2"/>
  <c r="I27" i="2"/>
  <c r="I41" i="2"/>
  <c r="I21" i="2"/>
  <c r="I24" i="2"/>
  <c r="I35" i="2"/>
  <c r="I23" i="2"/>
  <c r="I12" i="2"/>
  <c r="I37" i="2"/>
  <c r="I13" i="2"/>
  <c r="I25" i="2"/>
  <c r="I38" i="2"/>
  <c r="I14" i="2"/>
  <c r="H37" i="2"/>
  <c r="H28" i="2"/>
  <c r="H39" i="2"/>
  <c r="H38" i="2"/>
  <c r="H29" i="2"/>
  <c r="H40" i="2"/>
  <c r="H25" i="2"/>
  <c r="H27" i="2"/>
  <c r="H19" i="2"/>
  <c r="H41" i="2"/>
  <c r="G10" i="2"/>
  <c r="G16" i="2"/>
  <c r="G30" i="2"/>
  <c r="G8" i="2"/>
  <c r="G9" i="2"/>
  <c r="G23" i="2"/>
  <c r="G37" i="2"/>
  <c r="G38" i="2"/>
  <c r="G26" i="2"/>
  <c r="G13" i="2"/>
  <c r="G27" i="2"/>
  <c r="G40" i="2"/>
  <c r="G28" i="2"/>
  <c r="F28" i="2"/>
  <c r="F10" i="2"/>
  <c r="F35" i="2"/>
  <c r="F24" i="2"/>
  <c r="BB24" i="2" s="1"/>
  <c r="F13" i="2"/>
  <c r="F25" i="2"/>
  <c r="F37" i="2"/>
  <c r="F22" i="2"/>
  <c r="F36" i="2"/>
  <c r="F26" i="2"/>
  <c r="F38" i="2"/>
  <c r="E23" i="2"/>
  <c r="E20" i="2"/>
  <c r="BB20" i="2" s="1"/>
  <c r="E43" i="2"/>
  <c r="E15" i="2"/>
  <c r="E26" i="2"/>
  <c r="E39" i="2"/>
  <c r="E25" i="2"/>
  <c r="E27" i="2"/>
  <c r="E28" i="2"/>
  <c r="E41" i="2"/>
  <c r="BB18" i="2"/>
  <c r="BB17" i="2"/>
  <c r="H50" i="35"/>
  <c r="BB30" i="2"/>
  <c r="G50" i="35"/>
  <c r="G50" i="44"/>
  <c r="I50" i="40"/>
  <c r="H50" i="40"/>
  <c r="G50" i="40"/>
  <c r="L11" i="40"/>
  <c r="AN9" i="2" s="1"/>
  <c r="I50" i="7"/>
  <c r="K50" i="7"/>
  <c r="J50" i="19"/>
  <c r="K50" i="19"/>
  <c r="I50" i="19"/>
  <c r="H50" i="19"/>
  <c r="G50" i="23"/>
  <c r="K50" i="46"/>
  <c r="I50" i="46"/>
  <c r="J50" i="46"/>
  <c r="J50" i="49"/>
  <c r="AI9" i="2"/>
  <c r="K50" i="10"/>
  <c r="U19" i="2"/>
  <c r="BB44" i="2"/>
  <c r="M15" i="2"/>
  <c r="G50" i="13"/>
  <c r="I50" i="13"/>
  <c r="H50" i="13"/>
  <c r="J50" i="4"/>
  <c r="G50" i="12"/>
  <c r="G50" i="7"/>
  <c r="I50" i="24"/>
  <c r="J50" i="7"/>
  <c r="V11" i="2"/>
  <c r="J50" i="22"/>
  <c r="H50" i="22"/>
  <c r="G50" i="22"/>
  <c r="K50" i="22"/>
  <c r="I50" i="22"/>
  <c r="I50" i="6"/>
  <c r="H50" i="6"/>
  <c r="K50" i="6"/>
  <c r="J50" i="6"/>
  <c r="G50" i="6"/>
  <c r="F8" i="2"/>
  <c r="O8" i="2"/>
  <c r="H50" i="15"/>
  <c r="G50" i="15"/>
  <c r="K50" i="15"/>
  <c r="J50" i="15"/>
  <c r="I50" i="15"/>
  <c r="G50" i="26"/>
  <c r="G50" i="41"/>
  <c r="J50" i="44"/>
  <c r="AT12" i="2"/>
  <c r="J50" i="23"/>
  <c r="I50" i="23"/>
  <c r="W12" i="2"/>
  <c r="Z15" i="2"/>
  <c r="AR15" i="2"/>
  <c r="J50" i="50"/>
  <c r="K50" i="50"/>
  <c r="AX9" i="2"/>
  <c r="L11" i="47"/>
  <c r="AU9" i="2" s="1"/>
  <c r="H50" i="47"/>
  <c r="G50" i="47"/>
  <c r="K50" i="47"/>
  <c r="I50" i="47"/>
  <c r="J50" i="47"/>
  <c r="J50" i="18"/>
  <c r="AB34" i="2"/>
  <c r="BB34" i="2" s="1"/>
  <c r="H50" i="4"/>
  <c r="G50" i="4"/>
  <c r="H50" i="12"/>
  <c r="H50" i="7"/>
  <c r="G50" i="36"/>
  <c r="K50" i="12"/>
  <c r="I50" i="12"/>
  <c r="J50" i="12"/>
  <c r="G50" i="19"/>
  <c r="AK9" i="2"/>
  <c r="G50" i="37"/>
  <c r="J50" i="37"/>
  <c r="I50" i="37"/>
  <c r="H50" i="5"/>
  <c r="S8" i="2"/>
  <c r="H50" i="16"/>
  <c r="G50" i="16"/>
  <c r="K50" i="16"/>
  <c r="I50" i="16"/>
  <c r="J50" i="16"/>
  <c r="H50" i="30"/>
  <c r="H50" i="41"/>
  <c r="K50" i="44"/>
  <c r="G50" i="45"/>
  <c r="L50" i="45" s="1"/>
  <c r="AS48" i="2" s="1"/>
  <c r="H50" i="31"/>
  <c r="G50" i="31"/>
  <c r="I50" i="31"/>
  <c r="AS8" i="2"/>
  <c r="K50" i="45"/>
  <c r="K50" i="41"/>
  <c r="AO11" i="2"/>
  <c r="J50" i="41"/>
  <c r="AV9" i="2"/>
  <c r="K50" i="31"/>
  <c r="I50" i="5"/>
  <c r="J50" i="5"/>
  <c r="K50" i="5"/>
  <c r="H50" i="10"/>
  <c r="J50" i="10"/>
  <c r="G50" i="10"/>
  <c r="I50" i="10"/>
  <c r="J50" i="27"/>
  <c r="I50" i="27"/>
  <c r="H50" i="27"/>
  <c r="H50" i="36"/>
  <c r="AP11" i="2"/>
  <c r="G50" i="52"/>
  <c r="J50" i="14"/>
  <c r="I50" i="14"/>
  <c r="K50" i="14"/>
  <c r="AE8" i="2"/>
  <c r="K50" i="48"/>
  <c r="K50" i="13"/>
  <c r="J50" i="20"/>
  <c r="I50" i="20"/>
  <c r="H50" i="20"/>
  <c r="G50" i="20"/>
  <c r="K50" i="29"/>
  <c r="J50" i="29"/>
  <c r="I50" i="29"/>
  <c r="H50" i="29"/>
  <c r="G50" i="29"/>
  <c r="E9" i="2"/>
  <c r="H8" i="2"/>
  <c r="K50" i="8"/>
  <c r="J50" i="8"/>
  <c r="AC8" i="2"/>
  <c r="J8" i="2"/>
  <c r="I50" i="17"/>
  <c r="Q8" i="2"/>
  <c r="H50" i="17"/>
  <c r="G50" i="17"/>
  <c r="L50" i="17" s="1"/>
  <c r="Q48" i="2" s="1"/>
  <c r="AA12" i="2"/>
  <c r="I50" i="36"/>
  <c r="I50" i="48"/>
  <c r="H50" i="52"/>
  <c r="G50" i="9"/>
  <c r="K50" i="9"/>
  <c r="I50" i="9"/>
  <c r="H50" i="9"/>
  <c r="AW10" i="2"/>
  <c r="I50" i="49"/>
  <c r="J50" i="9"/>
  <c r="N12" i="2"/>
  <c r="R8" i="2"/>
  <c r="K50" i="18"/>
  <c r="H50" i="18"/>
  <c r="G50" i="18"/>
  <c r="K50" i="11"/>
  <c r="J50" i="11"/>
  <c r="I50" i="11"/>
  <c r="H50" i="11"/>
  <c r="G50" i="34"/>
  <c r="K9" i="2"/>
  <c r="J50" i="13"/>
  <c r="J50" i="31"/>
  <c r="AH9" i="2"/>
  <c r="I50" i="18"/>
  <c r="T8" i="2"/>
  <c r="K50" i="27"/>
  <c r="I50" i="39"/>
  <c r="H50" i="39"/>
  <c r="K50" i="39"/>
  <c r="G50" i="39"/>
  <c r="J50" i="39"/>
  <c r="H50" i="28"/>
  <c r="G50" i="28"/>
  <c r="I50" i="28"/>
  <c r="K50" i="28"/>
  <c r="AJ10" i="2"/>
  <c r="AM8" i="2"/>
  <c r="H50" i="42"/>
  <c r="L50" i="42" s="1"/>
  <c r="AP48" i="2" s="1"/>
  <c r="BB32" i="2"/>
  <c r="G50" i="8"/>
  <c r="K50" i="20"/>
  <c r="I50" i="30"/>
  <c r="K50" i="30"/>
  <c r="J50" i="30"/>
  <c r="J50" i="48"/>
  <c r="J50" i="51"/>
  <c r="I50" i="51"/>
  <c r="H50" i="51"/>
  <c r="G50" i="51"/>
  <c r="K50" i="51"/>
  <c r="H50" i="21"/>
  <c r="J50" i="21"/>
  <c r="G50" i="21"/>
  <c r="L50" i="21" s="1"/>
  <c r="U48" i="2" s="1"/>
  <c r="G50" i="5"/>
  <c r="L50" i="5" s="1"/>
  <c r="E48" i="2" s="1"/>
  <c r="U9" i="2"/>
  <c r="G50" i="14"/>
  <c r="N9" i="2"/>
  <c r="H50" i="14"/>
  <c r="H50" i="24"/>
  <c r="AF9" i="2"/>
  <c r="K50" i="32"/>
  <c r="J50" i="32"/>
  <c r="J50" i="33"/>
  <c r="I50" i="33"/>
  <c r="H50" i="33"/>
  <c r="L50" i="33" s="1"/>
  <c r="AG48" i="2" s="1"/>
  <c r="K50" i="40"/>
  <c r="J50" i="40"/>
  <c r="H50" i="46"/>
  <c r="G50" i="46"/>
  <c r="H50" i="53"/>
  <c r="G50" i="53"/>
  <c r="AT8" i="2"/>
  <c r="BA9" i="2"/>
  <c r="I50" i="26"/>
  <c r="J50" i="26"/>
  <c r="H50" i="26"/>
  <c r="K50" i="36"/>
  <c r="J50" i="36"/>
  <c r="I50" i="42"/>
  <c r="K50" i="42"/>
  <c r="J50" i="42"/>
  <c r="G50" i="11"/>
  <c r="H50" i="25"/>
  <c r="G50" i="25"/>
  <c r="K50" i="25"/>
  <c r="I50" i="25"/>
  <c r="Z10" i="2"/>
  <c r="AA8" i="2"/>
  <c r="G50" i="27"/>
  <c r="I50" i="32"/>
  <c r="H50" i="32"/>
  <c r="G50" i="32"/>
  <c r="AJ8" i="2"/>
  <c r="K50" i="37"/>
  <c r="H50" i="37"/>
  <c r="K50" i="38"/>
  <c r="H50" i="38"/>
  <c r="G50" i="38"/>
  <c r="L50" i="38" s="1"/>
  <c r="AL48" i="2" s="1"/>
  <c r="AP9" i="2"/>
  <c r="H50" i="43"/>
  <c r="G50" i="43"/>
  <c r="K50" i="43"/>
  <c r="I50" i="44"/>
  <c r="H50" i="44"/>
  <c r="K50" i="4"/>
  <c r="I50" i="4"/>
  <c r="J50" i="24"/>
  <c r="G50" i="24"/>
  <c r="Y9" i="2"/>
  <c r="AF8" i="2"/>
  <c r="AK8" i="2"/>
  <c r="AL8" i="2"/>
  <c r="AQ9" i="2"/>
  <c r="AR10" i="2"/>
  <c r="H50" i="49"/>
  <c r="G50" i="49"/>
  <c r="K50" i="49"/>
  <c r="AW8" i="2"/>
  <c r="I50" i="50"/>
  <c r="H50" i="50"/>
  <c r="G50" i="50"/>
  <c r="K50" i="23"/>
  <c r="W8" i="2"/>
  <c r="K50" i="34"/>
  <c r="J50" i="34"/>
  <c r="I50" i="34"/>
  <c r="H50" i="34"/>
  <c r="K50" i="52"/>
  <c r="J50" i="52"/>
  <c r="I50" i="52"/>
  <c r="I50" i="21"/>
  <c r="K50" i="35"/>
  <c r="J50" i="35"/>
  <c r="I50" i="35"/>
  <c r="G50" i="30"/>
  <c r="G50" i="48"/>
  <c r="K50" i="53"/>
  <c r="J50" i="53"/>
  <c r="I50" i="53"/>
  <c r="L50" i="53" l="1"/>
  <c r="BA48" i="2" s="1"/>
  <c r="L50" i="50"/>
  <c r="AX48" i="2" s="1"/>
  <c r="L50" i="47"/>
  <c r="AU48" i="2" s="1"/>
  <c r="L50" i="46"/>
  <c r="AT48" i="2" s="1"/>
  <c r="BB43" i="2"/>
  <c r="BB42" i="2"/>
  <c r="L50" i="26"/>
  <c r="Z48" i="2" s="1"/>
  <c r="L50" i="24"/>
  <c r="X48" i="2" s="1"/>
  <c r="L50" i="23"/>
  <c r="W48" i="2" s="1"/>
  <c r="L50" i="20"/>
  <c r="T48" i="2" s="1"/>
  <c r="BB23" i="2"/>
  <c r="BB36" i="2"/>
  <c r="L50" i="18"/>
  <c r="R48" i="2" s="1"/>
  <c r="BB27" i="2"/>
  <c r="BB26" i="2"/>
  <c r="BB14" i="2"/>
  <c r="BB40" i="2"/>
  <c r="BB13" i="2"/>
  <c r="BB22" i="2"/>
  <c r="BB38" i="2"/>
  <c r="BB19" i="2"/>
  <c r="BB41" i="2"/>
  <c r="BB37" i="2"/>
  <c r="BB25" i="2"/>
  <c r="BB28" i="2"/>
  <c r="BB11" i="2"/>
  <c r="BB12" i="2"/>
  <c r="BB9" i="2"/>
  <c r="BB10" i="2"/>
  <c r="BB8" i="2"/>
  <c r="BB15" i="2"/>
  <c r="L50" i="6"/>
  <c r="F48" i="2" s="1"/>
  <c r="L50" i="9"/>
  <c r="I48" i="2" s="1"/>
  <c r="L50" i="27"/>
  <c r="AA48" i="2" s="1"/>
  <c r="L50" i="36"/>
  <c r="AJ48" i="2" s="1"/>
  <c r="L50" i="30"/>
  <c r="AD48" i="2" s="1"/>
  <c r="L50" i="12"/>
  <c r="L48" i="2" s="1"/>
  <c r="L50" i="48"/>
  <c r="AV48" i="2" s="1"/>
  <c r="L50" i="11"/>
  <c r="K48" i="2" s="1"/>
  <c r="L50" i="13"/>
  <c r="M48" i="2" s="1"/>
  <c r="L50" i="52"/>
  <c r="AZ48" i="2" s="1"/>
  <c r="L50" i="22"/>
  <c r="V48" i="2" s="1"/>
  <c r="L50" i="44"/>
  <c r="AR48" i="2" s="1"/>
  <c r="L50" i="28"/>
  <c r="AB48" i="2" s="1"/>
  <c r="L50" i="51"/>
  <c r="AY48" i="2" s="1"/>
  <c r="L50" i="25"/>
  <c r="Y48" i="2" s="1"/>
  <c r="L50" i="43"/>
  <c r="AQ48" i="2" s="1"/>
  <c r="L50" i="39"/>
  <c r="AM48" i="2" s="1"/>
  <c r="L50" i="49"/>
  <c r="AW48" i="2" s="1"/>
  <c r="L50" i="40"/>
  <c r="AN48" i="2" s="1"/>
  <c r="L50" i="4"/>
  <c r="D48" i="2" s="1"/>
  <c r="L50" i="8"/>
  <c r="H48" i="2" s="1"/>
  <c r="L50" i="29"/>
  <c r="AC48" i="2" s="1"/>
  <c r="L50" i="35"/>
  <c r="AI48" i="2" s="1"/>
  <c r="L50" i="34"/>
  <c r="AH48" i="2" s="1"/>
  <c r="L50" i="31"/>
  <c r="AE48" i="2" s="1"/>
  <c r="L50" i="37"/>
  <c r="AK48" i="2" s="1"/>
  <c r="L50" i="19"/>
  <c r="S48" i="2" s="1"/>
  <c r="L50" i="7"/>
  <c r="G48" i="2" s="1"/>
  <c r="L50" i="10"/>
  <c r="J48" i="2" s="1"/>
  <c r="L50" i="15"/>
  <c r="O48" i="2" s="1"/>
  <c r="L50" i="16"/>
  <c r="P48" i="2" s="1"/>
  <c r="L50" i="32"/>
  <c r="AF48" i="2" s="1"/>
  <c r="L50" i="14"/>
  <c r="N48" i="2" s="1"/>
  <c r="L50" i="41"/>
  <c r="AO48" i="2" s="1"/>
  <c r="BB4" i="2" l="1"/>
  <c r="J4" i="2" s="1"/>
  <c r="BB6" i="2"/>
  <c r="J6" i="2" s="1"/>
  <c r="BB5" i="2"/>
  <c r="J5" i="2" s="1"/>
  <c r="BB48" i="2"/>
  <c r="D49" i="2" l="1"/>
  <c r="D50" i="2"/>
</calcChain>
</file>

<file path=xl/sharedStrings.xml><?xml version="1.0" encoding="utf-8"?>
<sst xmlns="http://schemas.openxmlformats.org/spreadsheetml/2006/main" count="4426" uniqueCount="629">
  <si>
    <t>Step 1</t>
  </si>
  <si>
    <t>기업 시트 선택</t>
  </si>
  <si>
    <t>Step 2</t>
  </si>
  <si>
    <t>Step 3</t>
  </si>
  <si>
    <t>활동 횟수 입력</t>
  </si>
  <si>
    <t>Step 4</t>
  </si>
  <si>
    <t>절감액 자동계산</t>
  </si>
  <si>
    <t>Step 5</t>
  </si>
  <si>
    <t>통합집계 확인</t>
  </si>
  <si>
    <t>주의①</t>
  </si>
  <si>
    <t>위험도 확인</t>
  </si>
  <si>
    <t>주의②</t>
  </si>
  <si>
    <t>증빙서류</t>
  </si>
  <si>
    <t>주의③</t>
  </si>
  <si>
    <t>기준데이터 시트</t>
  </si>
  <si>
    <t>사업 구분</t>
  </si>
  <si>
    <t>No</t>
  </si>
  <si>
    <t>기업명</t>
  </si>
  <si>
    <t>전체 합계</t>
  </si>
  <si>
    <t>떨어짐</t>
  </si>
  <si>
    <t>넘어짐</t>
  </si>
  <si>
    <t>부딪힘</t>
  </si>
  <si>
    <t>물체에 맞음</t>
  </si>
  <si>
    <t>무너짐</t>
  </si>
  <si>
    <t>끼임</t>
  </si>
  <si>
    <t>교통사고</t>
  </si>
  <si>
    <t>무리한 동작</t>
  </si>
  <si>
    <t>감전</t>
  </si>
  <si>
    <t>기타</t>
  </si>
  <si>
    <t>▶ 성과 판정</t>
  </si>
  <si>
    <t>▶ 위험요인별 사회비용 및 가중치</t>
  </si>
  <si>
    <t>위험요인</t>
  </si>
  <si>
    <t>협력사 수</t>
  </si>
  <si>
    <t>협력사명</t>
  </si>
  <si>
    <t>↓ 아래 협력사별 열에 이름 입력</t>
  </si>
  <si>
    <t>소계</t>
  </si>
  <si>
    <t>개선 활동</t>
  </si>
  <si>
    <t>가중치</t>
  </si>
  <si>
    <t>개인보호구 지급</t>
  </si>
  <si>
    <t>4종 시트 안내</t>
  </si>
  <si>
    <t>① 사용안내  ② 기준데이터(수정금지)  ③ 기업별입력_[기업번호]  ④ 전체통합집계</t>
  </si>
  <si>
    <t>하단 탭에서 '기업01' ~ '기업50' 탭 선택 → 해당 기업 입력 시작</t>
  </si>
  <si>
    <t>기업명·협력사명 입력</t>
  </si>
  <si>
    <t>각 기업 시트 상단 노란셀: 기업명, 협력사 수(최대5), 협력사1~5 이름 입력</t>
  </si>
  <si>
    <t>노란색 입력셀에 활동 횟수 입력 (0=미이행, 1=1건, 2=2건, 3=3건 …)</t>
  </si>
  <si>
    <t>절감액 = 사회비용 × 가중치 × 활동횟수  →  자동 계산</t>
  </si>
  <si>
    <t>'전체통합집계' 시트에서 50개 기업 전체 합산 및 성과 판정 확인</t>
  </si>
  <si>
    <t>별첨 제4조: 위험도(빈도×강도) 8점 이상 위험요인만 성과 인정</t>
  </si>
  <si>
    <t>표5(공학·관리적) / 표6(보호구) / 표7(교육) 기준 증빙 확인 후 입력</t>
  </si>
  <si>
    <t>'기준데이터' 시트는 참조 전용 — 절대 수정 금지</t>
  </si>
  <si>
    <t>시트 구성</t>
    <phoneticPr fontId="5" type="noConversion"/>
  </si>
  <si>
    <t>산업안전 RBF 사업 – 50개 기업 통합 사회비용 절감액 계산</t>
    <phoneticPr fontId="5" type="noConversion"/>
  </si>
  <si>
    <t>산업안전 RBF 사업 – 50개 기업 통합 집계표</t>
  </si>
  <si>
    <t>※ 각 기업 시트의 입력값을 자동 집계합니다. 이 시트는 수정하지 마십시오.</t>
  </si>
  <si>
    <t>1차 사업</t>
  </si>
  <si>
    <t>'1차 사업' 또는 '2차 사업' 입력 → 투입금액·성과기준 자동 반영</t>
  </si>
  <si>
    <t>투입금액(원)</t>
  </si>
  <si>
    <t>성과 미달 기준(이하)</t>
  </si>
  <si>
    <t>최대 성과목표(이상)</t>
  </si>
  <si>
    <t>깔림·뒤집힘</t>
  </si>
  <si>
    <t>절단·베임·찔림</t>
  </si>
  <si>
    <t>화재·폭발·파열</t>
  </si>
  <si>
    <t>▶ 기업별 절감액 합계 (원)</t>
  </si>
  <si>
    <t>▶ 최대 목표 달성률(%)</t>
  </si>
  <si>
    <t>기준데이터 – 수정 금지 (별첨 제1·2·7조)</t>
  </si>
  <si>
    <t>사회비용(원)</t>
  </si>
  <si>
    <t>공학·관리적
(0.70)</t>
  </si>
  <si>
    <t>개인보호구
(0.15)</t>
  </si>
  <si>
    <t>행동교정
(0.15)</t>
  </si>
  <si>
    <t>산업안전 RBF – 기업 01 성과 입력 시트</t>
  </si>
  <si>
    <t>※ 노란색 셀에만 입력  |  활동횟수: 0=미이행, 1=1건, 2=2건 …  |  절감액 = 사회비용 × 가중치 × 활동횟수</t>
  </si>
  <si>
    <t>기업 01</t>
  </si>
  <si>
    <t>※ 최대 5개. 사용하지 않는 협력사 열은 0 또는 공백</t>
  </si>
  <si>
    <t>협력사1</t>
  </si>
  <si>
    <t>협력사2</t>
  </si>
  <si>
    <t>협력사3</t>
  </si>
  <si>
    <t>협력사4</t>
  </si>
  <si>
    <t>협력사5</t>
  </si>
  <si>
    <t>사회비용
(원)</t>
  </si>
  <si>
    <t>1건당
절감단가(원)</t>
  </si>
  <si>
    <t>공학·관리적 조치</t>
  </si>
  <si>
    <t>행동 교정(교육)</t>
  </si>
  <si>
    <t>▶ 이 기업 전체 절감액 합계 (원)</t>
  </si>
  <si>
    <t>산업안전 RBF – 기업 02 성과 입력 시트</t>
  </si>
  <si>
    <t>기업 02</t>
  </si>
  <si>
    <t>산업안전 RBF – 기업 03 성과 입력 시트</t>
  </si>
  <si>
    <t>기업 03</t>
  </si>
  <si>
    <t>산업안전 RBF – 기업 04 성과 입력 시트</t>
  </si>
  <si>
    <t>기업 04</t>
  </si>
  <si>
    <t>산업안전 RBF – 기업 05 성과 입력 시트</t>
  </si>
  <si>
    <t>기업 05</t>
  </si>
  <si>
    <t>산업안전 RBF – 기업 06 성과 입력 시트</t>
  </si>
  <si>
    <t>기업 06</t>
  </si>
  <si>
    <t>산업안전 RBF – 기업 07 성과 입력 시트</t>
  </si>
  <si>
    <t>기업 07</t>
  </si>
  <si>
    <t>산업안전 RBF – 기업 08 성과 입력 시트</t>
  </si>
  <si>
    <t>기업 08</t>
  </si>
  <si>
    <t>산업안전 RBF – 기업 09 성과 입력 시트</t>
  </si>
  <si>
    <t>기업 09</t>
  </si>
  <si>
    <t>산업안전 RBF – 기업 10 성과 입력 시트</t>
  </si>
  <si>
    <t>기업 10</t>
  </si>
  <si>
    <t>산업안전 RBF – 기업 11 성과 입력 시트</t>
  </si>
  <si>
    <t>기업 11</t>
  </si>
  <si>
    <t>산업안전 RBF – 기업 12 성과 입력 시트</t>
  </si>
  <si>
    <t>기업 12</t>
  </si>
  <si>
    <t>산업안전 RBF – 기업 13 성과 입력 시트</t>
  </si>
  <si>
    <t>기업 13</t>
  </si>
  <si>
    <t>산업안전 RBF – 기업 14 성과 입력 시트</t>
  </si>
  <si>
    <t>기업 14</t>
  </si>
  <si>
    <t>산업안전 RBF – 기업 15 성과 입력 시트</t>
  </si>
  <si>
    <t>기업 15</t>
  </si>
  <si>
    <t>산업안전 RBF – 기업 16 성과 입력 시트</t>
  </si>
  <si>
    <t>기업 16</t>
  </si>
  <si>
    <t>산업안전 RBF – 기업 17 성과 입력 시트</t>
  </si>
  <si>
    <t>기업 17</t>
  </si>
  <si>
    <t>산업안전 RBF – 기업 18 성과 입력 시트</t>
  </si>
  <si>
    <t>기업 18</t>
  </si>
  <si>
    <t>산업안전 RBF – 기업 19 성과 입력 시트</t>
  </si>
  <si>
    <t>기업 19</t>
  </si>
  <si>
    <t>산업안전 RBF – 기업 20 성과 입력 시트</t>
  </si>
  <si>
    <t>기업 20</t>
  </si>
  <si>
    <t>산업안전 RBF – 기업 21 성과 입력 시트</t>
  </si>
  <si>
    <t>기업 21</t>
  </si>
  <si>
    <t>산업안전 RBF – 기업 22 성과 입력 시트</t>
  </si>
  <si>
    <t>기업 22</t>
  </si>
  <si>
    <t>산업안전 RBF – 기업 23 성과 입력 시트</t>
  </si>
  <si>
    <t>기업 23</t>
  </si>
  <si>
    <t>산업안전 RBF – 기업 24 성과 입력 시트</t>
  </si>
  <si>
    <t>기업 24</t>
  </si>
  <si>
    <t>산업안전 RBF – 기업 25 성과 입력 시트</t>
  </si>
  <si>
    <t>기업 25</t>
  </si>
  <si>
    <t>산업안전 RBF – 기업 26 성과 입력 시트</t>
  </si>
  <si>
    <t>기업 26</t>
  </si>
  <si>
    <t>산업안전 RBF – 기업 27 성과 입력 시트</t>
  </si>
  <si>
    <t>기업 27</t>
  </si>
  <si>
    <t>산업안전 RBF – 기업 28 성과 입력 시트</t>
  </si>
  <si>
    <t>기업 28</t>
  </si>
  <si>
    <t>산업안전 RBF – 기업 29 성과 입력 시트</t>
  </si>
  <si>
    <t>기업 29</t>
  </si>
  <si>
    <t>산업안전 RBF – 기업 30 성과 입력 시트</t>
  </si>
  <si>
    <t>기업 30</t>
  </si>
  <si>
    <t>산업안전 RBF – 기업 31 성과 입력 시트</t>
  </si>
  <si>
    <t>기업 31</t>
  </si>
  <si>
    <t>산업안전 RBF – 기업 32 성과 입력 시트</t>
  </si>
  <si>
    <t>기업 32</t>
  </si>
  <si>
    <t>산업안전 RBF – 기업 33 성과 입력 시트</t>
  </si>
  <si>
    <t>기업 33</t>
  </si>
  <si>
    <t>산업안전 RBF – 기업 34 성과 입력 시트</t>
  </si>
  <si>
    <t>기업 34</t>
  </si>
  <si>
    <t>산업안전 RBF – 기업 35 성과 입력 시트</t>
  </si>
  <si>
    <t>기업 35</t>
  </si>
  <si>
    <t>산업안전 RBF – 기업 36 성과 입력 시트</t>
  </si>
  <si>
    <t>기업 36</t>
  </si>
  <si>
    <t>산업안전 RBF – 기업 37 성과 입력 시트</t>
  </si>
  <si>
    <t>기업 37</t>
  </si>
  <si>
    <t>산업안전 RBF – 기업 38 성과 입력 시트</t>
  </si>
  <si>
    <t>기업 38</t>
  </si>
  <si>
    <t>산업안전 RBF – 기업 39 성과 입력 시트</t>
  </si>
  <si>
    <t>기업 39</t>
  </si>
  <si>
    <t>산업안전 RBF – 기업 40 성과 입력 시트</t>
  </si>
  <si>
    <t>기업 40</t>
  </si>
  <si>
    <t>산업안전 RBF – 기업 41 성과 입력 시트</t>
  </si>
  <si>
    <t>기업 41</t>
  </si>
  <si>
    <t>산업안전 RBF – 기업 42 성과 입력 시트</t>
  </si>
  <si>
    <t>기업 42</t>
  </si>
  <si>
    <t>산업안전 RBF – 기업 43 성과 입력 시트</t>
  </si>
  <si>
    <t>기업 43</t>
  </si>
  <si>
    <t>산업안전 RBF – 기업 44 성과 입력 시트</t>
  </si>
  <si>
    <t>기업 44</t>
  </si>
  <si>
    <t>산업안전 RBF – 기업 45 성과 입력 시트</t>
  </si>
  <si>
    <t>기업 45</t>
  </si>
  <si>
    <t>산업안전 RBF – 기업 46 성과 입력 시트</t>
  </si>
  <si>
    <t>기업 46</t>
  </si>
  <si>
    <t>산업안전 RBF – 기업 47 성과 입력 시트</t>
  </si>
  <si>
    <t>기업 47</t>
  </si>
  <si>
    <t>산업안전 RBF – 기업 48 성과 입력 시트</t>
  </si>
  <si>
    <t>기업 48</t>
  </si>
  <si>
    <t>산업안전 RBF – 기업 49 성과 입력 시트</t>
  </si>
  <si>
    <t>기업 49</t>
  </si>
  <si>
    <t>산업안전 RBF – 기업 50 성과 입력 시트</t>
  </si>
  <si>
    <t>기업 50</t>
  </si>
  <si>
    <t>금액</t>
    <phoneticPr fontId="5" type="noConversion"/>
  </si>
  <si>
    <t>활동별 사회비용(원)</t>
    <phoneticPr fontId="5" type="noConversion"/>
  </si>
  <si>
    <t>사업자등록번호 (예시: 000-00-00000)</t>
  </si>
  <si>
    <t>성명</t>
  </si>
  <si>
    <t>직책</t>
  </si>
  <si>
    <t>이메일 주소</t>
  </si>
  <si>
    <t>휴대폰 번호 (예시: 010-1234-5678)</t>
  </si>
  <si>
    <t>부담당자 성명</t>
  </si>
  <si>
    <t>부담당자 직책</t>
  </si>
  <si>
    <t>부담당자 이메일 주소</t>
  </si>
  <si>
    <t>부담당자 휴대폰 번호 (예시: 010-1234-5678)</t>
  </si>
  <si>
    <t>1차 사업비(백만원)</t>
    <phoneticPr fontId="19" type="noConversion"/>
  </si>
  <si>
    <t>솔루션</t>
  </si>
  <si>
    <t>수요기업1</t>
    <phoneticPr fontId="19" type="noConversion"/>
  </si>
  <si>
    <t>수요기업2</t>
    <phoneticPr fontId="19" type="noConversion"/>
  </si>
  <si>
    <t>수요기업3</t>
  </si>
  <si>
    <t>수요기업4</t>
  </si>
  <si>
    <t>수요기업5</t>
  </si>
  <si>
    <t>강양HTS</t>
    <phoneticPr fontId="19" type="noConversion"/>
  </si>
  <si>
    <t>354-87-00193</t>
  </si>
  <si>
    <t>홍승필</t>
  </si>
  <si>
    <t>차장</t>
  </si>
  <si>
    <t>gangyanghts@naver.com</t>
    <phoneticPr fontId="19" type="noConversion"/>
  </si>
  <si>
    <t>010-5432-6596</t>
  </si>
  <si>
    <t>안승일</t>
  </si>
  <si>
    <t>대표</t>
  </si>
  <si>
    <t>gangyanghts@naver.com</t>
  </si>
  <si>
    <t>010-4582-3908</t>
  </si>
  <si>
    <t>공학</t>
  </si>
  <si>
    <t>네오펜스</t>
    <phoneticPr fontId="19" type="noConversion"/>
  </si>
  <si>
    <t>502-87-02960</t>
  </si>
  <si>
    <t>이기철</t>
  </si>
  <si>
    <t>대표이사(연구책임자)</t>
  </si>
  <si>
    <t>neo@neofence.net</t>
    <phoneticPr fontId="19" type="noConversion"/>
  </si>
  <si>
    <t>010-3203-7133</t>
  </si>
  <si>
    <t>라이브워크</t>
  </si>
  <si>
    <t>665-88-01764</t>
  </si>
  <si>
    <t>엄봉식</t>
  </si>
  <si>
    <t>대표이사</t>
  </si>
  <si>
    <t>bliss21@livewalk.co.kr</t>
    <phoneticPr fontId="19" type="noConversion"/>
  </si>
  <si>
    <t>010-9844-8321</t>
  </si>
  <si>
    <t>임민지</t>
  </si>
  <si>
    <t>min123@livewalk.co.kr</t>
  </si>
  <si>
    <t>010-5185-9627</t>
  </si>
  <si>
    <t>루미테크</t>
  </si>
  <si>
    <t>622-09-87246</t>
  </si>
  <si>
    <t>김명진</t>
  </si>
  <si>
    <t>kmj4star@naver.com</t>
    <phoneticPr fontId="19" type="noConversion"/>
  </si>
  <si>
    <t>010-5081-1843</t>
  </si>
  <si>
    <t>박영선</t>
  </si>
  <si>
    <t>실장</t>
  </si>
  <si>
    <t>lumipark1004@naver.com</t>
  </si>
  <si>
    <t>010-8233-1843</t>
  </si>
  <si>
    <t>리튬코리아</t>
  </si>
  <si>
    <t>397-87-02733</t>
  </si>
  <si>
    <t>김성준</t>
    <phoneticPr fontId="19" type="noConversion"/>
  </si>
  <si>
    <t>선임연구원</t>
    <phoneticPr fontId="19" type="noConversion"/>
  </si>
  <si>
    <t>lk-korea@lkkor.com</t>
    <phoneticPr fontId="19" type="noConversion"/>
  </si>
  <si>
    <t>010-3726-3142</t>
    <phoneticPr fontId="19" type="noConversion"/>
  </si>
  <si>
    <t>장성임</t>
  </si>
  <si>
    <t>ion-korea@naver.com</t>
  </si>
  <si>
    <t>010-5750-1029</t>
  </si>
  <si>
    <t>린솔</t>
    <phoneticPr fontId="19" type="noConversion"/>
  </si>
  <si>
    <t>766-87-02884</t>
  </si>
  <si>
    <t>도예영</t>
  </si>
  <si>
    <t>사원</t>
  </si>
  <si>
    <t>yy1110@linsol.kr</t>
    <phoneticPr fontId="19" type="noConversion"/>
  </si>
  <si>
    <t>010-3422-1444</t>
  </si>
  <si>
    <t>정다영</t>
  </si>
  <si>
    <t>대리</t>
  </si>
  <si>
    <t>wjdekdud95@linsol.kr</t>
  </si>
  <si>
    <t>010-7721-2274</t>
  </si>
  <si>
    <t>마이오티</t>
  </si>
  <si>
    <t>801-87-02718</t>
  </si>
  <si>
    <t>김상억</t>
  </si>
  <si>
    <t>부사장</t>
  </si>
  <si>
    <t>rnbd@maiot.kr</t>
    <phoneticPr fontId="19" type="noConversion"/>
  </si>
  <si>
    <t>010-2564-0744</t>
  </si>
  <si>
    <t>김탁규</t>
  </si>
  <si>
    <t>책임</t>
  </si>
  <si>
    <t>tahkkyoo.kim@maiot.kr</t>
  </si>
  <si>
    <t>010-9129-3325</t>
  </si>
  <si>
    <t>메이크순</t>
    <phoneticPr fontId="19" type="noConversion"/>
  </si>
  <si>
    <t>724-86-00468</t>
  </si>
  <si>
    <t>이항준</t>
  </si>
  <si>
    <t>원장</t>
  </si>
  <si>
    <t>011join001@hanmail.net</t>
    <phoneticPr fontId="19" type="noConversion"/>
  </si>
  <si>
    <t>010-2308-2533</t>
  </si>
  <si>
    <t>김민재</t>
  </si>
  <si>
    <t>makesoon@naver.com</t>
  </si>
  <si>
    <t>010-8846-4705</t>
  </si>
  <si>
    <t>미리코</t>
  </si>
  <si>
    <t>134-81-79643</t>
  </si>
  <si>
    <t>김동현</t>
  </si>
  <si>
    <t>책임연구원(연구소소장)</t>
  </si>
  <si>
    <t>mirico@mirico.net</t>
    <phoneticPr fontId="19" type="noConversion"/>
  </si>
  <si>
    <t>010-7715-1632</t>
  </si>
  <si>
    <t>박승현</t>
  </si>
  <si>
    <t>선임연구원</t>
  </si>
  <si>
    <t>mirico@mirico.net</t>
  </si>
  <si>
    <t>010-6364-0904</t>
  </si>
  <si>
    <t>베스트씨피알</t>
  </si>
  <si>
    <t>138-81-41310</t>
  </si>
  <si>
    <t>김은경</t>
  </si>
  <si>
    <t>부장</t>
  </si>
  <si>
    <t>kimeg@aed.kr</t>
    <phoneticPr fontId="19" type="noConversion"/>
  </si>
  <si>
    <t>010-5745-7777</t>
  </si>
  <si>
    <t>최지호</t>
  </si>
  <si>
    <t>geo@aed.kr</t>
  </si>
  <si>
    <t>010-8294-3075</t>
  </si>
  <si>
    <t>볼타온</t>
    <phoneticPr fontId="19" type="noConversion"/>
  </si>
  <si>
    <t>106-87-14633</t>
  </si>
  <si>
    <t>유신디(Yoo Cynthia Hyein)</t>
  </si>
  <si>
    <t>이사</t>
  </si>
  <si>
    <t>cyoo@voltaon.com</t>
    <phoneticPr fontId="19" type="noConversion"/>
  </si>
  <si>
    <t>010-7232-5133</t>
  </si>
  <si>
    <t>홍용진</t>
  </si>
  <si>
    <t>상무</t>
  </si>
  <si>
    <t>yjhong@voltaon.com</t>
  </si>
  <si>
    <t>010-5319-7624</t>
  </si>
  <si>
    <t>브랜드뉴</t>
    <phoneticPr fontId="19" type="noConversion"/>
  </si>
  <si>
    <t>610-86-32701</t>
  </si>
  <si>
    <t>홍영정</t>
  </si>
  <si>
    <t>hong.youngjung@brandnew-inc.com</t>
    <phoneticPr fontId="19" type="noConversion"/>
  </si>
  <si>
    <t>010-3585-4341</t>
  </si>
  <si>
    <t>홍송헌</t>
  </si>
  <si>
    <t>과장</t>
  </si>
  <si>
    <t>hong.songheon@brandnew-inc.com</t>
  </si>
  <si>
    <t>010-3289-9595</t>
  </si>
  <si>
    <t>세계실업</t>
  </si>
  <si>
    <t>502-81-68126</t>
  </si>
  <si>
    <t>이정우</t>
  </si>
  <si>
    <t>yolo807@worlde.co.kr</t>
    <phoneticPr fontId="19" type="noConversion"/>
  </si>
  <si>
    <t>010-6774-3767</t>
  </si>
  <si>
    <t>고미숙</t>
  </si>
  <si>
    <t>world5700@worlde.co.kr</t>
  </si>
  <si>
    <t>010-8426-7424</t>
  </si>
  <si>
    <t>세르보테크</t>
  </si>
  <si>
    <t>263-87-02916</t>
  </si>
  <si>
    <t>김현진</t>
  </si>
  <si>
    <t>책임연구원</t>
  </si>
  <si>
    <t>svtech23@naver.com</t>
    <phoneticPr fontId="19" type="noConversion"/>
  </si>
  <si>
    <t>010-5486-9419</t>
  </si>
  <si>
    <t>신화테크</t>
    <phoneticPr fontId="19" type="noConversion"/>
  </si>
  <si>
    <t>138-81-69400</t>
  </si>
  <si>
    <t>설재호</t>
  </si>
  <si>
    <t>프로(선임연구원)</t>
  </si>
  <si>
    <t>lab2@shth.co.kr</t>
    <phoneticPr fontId="19" type="noConversion"/>
  </si>
  <si>
    <t>010-2699-7336</t>
  </si>
  <si>
    <t>유정후</t>
  </si>
  <si>
    <t>책임 연구원</t>
  </si>
  <si>
    <t>lab@shth.co.kr</t>
  </si>
  <si>
    <t>메일로 연락</t>
  </si>
  <si>
    <t>아와소프트</t>
  </si>
  <si>
    <t>105-86-57078</t>
  </si>
  <si>
    <t>김양수</t>
  </si>
  <si>
    <t>amadeuce@awasoft.co.kr</t>
    <phoneticPr fontId="19" type="noConversion"/>
  </si>
  <si>
    <t>010-2720-0369</t>
  </si>
  <si>
    <t>이재관</t>
  </si>
  <si>
    <t>선임</t>
  </si>
  <si>
    <t>jk.lee0207@awasoft.co.kr</t>
  </si>
  <si>
    <t>010-5044-6839</t>
  </si>
  <si>
    <t>아임삭</t>
  </si>
  <si>
    <t>120-81-50894</t>
  </si>
  <si>
    <t>최문영</t>
  </si>
  <si>
    <t>주임</t>
  </si>
  <si>
    <t>mychoi@aimsak.com</t>
    <phoneticPr fontId="19" type="noConversion"/>
  </si>
  <si>
    <t>010-8030-4416</t>
  </si>
  <si>
    <t>김영삼</t>
  </si>
  <si>
    <t>ys.kim@aimsak.com</t>
  </si>
  <si>
    <t>010-9029-0760</t>
  </si>
  <si>
    <t>에이엘테크</t>
  </si>
  <si>
    <t>503-81-46125</t>
  </si>
  <si>
    <t>구나리</t>
  </si>
  <si>
    <t>nrkoo@al-tech.kr</t>
    <phoneticPr fontId="19" type="noConversion"/>
  </si>
  <si>
    <t>010-7762-4753</t>
  </si>
  <si>
    <t>김희진</t>
  </si>
  <si>
    <t>수석연구원</t>
  </si>
  <si>
    <t>dkim@al-tech.kr</t>
  </si>
  <si>
    <t>010-7508-5503</t>
  </si>
  <si>
    <t>예스산업시스템</t>
  </si>
  <si>
    <t>305-81-99784</t>
  </si>
  <si>
    <t>김지은</t>
  </si>
  <si>
    <t>yes5756@daum.net</t>
    <phoneticPr fontId="19" type="noConversion"/>
  </si>
  <si>
    <t>010-7280-0316</t>
  </si>
  <si>
    <t>이진숙</t>
  </si>
  <si>
    <t>yes5756@daum.net</t>
  </si>
  <si>
    <t>010-2322-3066</t>
  </si>
  <si>
    <t>오메가오토메이션</t>
  </si>
  <si>
    <t>722-86-00292</t>
  </si>
  <si>
    <t>양경식</t>
  </si>
  <si>
    <t>ps@omegaautomation.co.kr</t>
    <phoneticPr fontId="19" type="noConversion"/>
  </si>
  <si>
    <t>010-2223-8296</t>
  </si>
  <si>
    <t>김유한</t>
  </si>
  <si>
    <t>ps@omegaautomation.co.kr</t>
  </si>
  <si>
    <t>010-8306-5305</t>
  </si>
  <si>
    <t>이노넷</t>
  </si>
  <si>
    <t>129-86-56468</t>
  </si>
  <si>
    <t>성봉희</t>
  </si>
  <si>
    <t>경영지원팀장</t>
  </si>
  <si>
    <t>admin@innonet.net</t>
    <phoneticPr fontId="19" type="noConversion"/>
  </si>
  <si>
    <t>010-2714-3804</t>
  </si>
  <si>
    <t>장혜원</t>
  </si>
  <si>
    <t>경영지원팀 매니저</t>
    <phoneticPr fontId="19" type="noConversion"/>
  </si>
  <si>
    <t>admin@innonet.net</t>
  </si>
  <si>
    <t>010-5668-8187</t>
  </si>
  <si>
    <t>인제컴퍼니</t>
  </si>
  <si>
    <t>673-01-02119</t>
  </si>
  <si>
    <t>이정율</t>
  </si>
  <si>
    <t>inje3482@naver.com</t>
    <phoneticPr fontId="19" type="noConversion"/>
  </si>
  <si>
    <t>010-9695-8238</t>
  </si>
  <si>
    <t>홍미지</t>
  </si>
  <si>
    <t>inje3482@naver.com</t>
  </si>
  <si>
    <t>010-6537-0758</t>
  </si>
  <si>
    <t>인포카</t>
  </si>
  <si>
    <t>110-88-00402</t>
  </si>
  <si>
    <t>곽지선</t>
  </si>
  <si>
    <t>경영지원팀 팀장</t>
  </si>
  <si>
    <t>rnd@infocarmobility.com</t>
    <phoneticPr fontId="19" type="noConversion"/>
  </si>
  <si>
    <t>010-3108-8926</t>
  </si>
  <si>
    <t>황근중</t>
  </si>
  <si>
    <t>영업팀 팀장</t>
  </si>
  <si>
    <t>market@infocarmobility.com</t>
  </si>
  <si>
    <t>010-6698-6940</t>
  </si>
  <si>
    <t>정한스틸</t>
    <phoneticPr fontId="19" type="noConversion"/>
  </si>
  <si>
    <t>312-86-39867</t>
  </si>
  <si>
    <t>한금수</t>
  </si>
  <si>
    <t>jhst1217@daum.net</t>
    <phoneticPr fontId="19" type="noConversion"/>
  </si>
  <si>
    <t>010-9393-9346</t>
  </si>
  <si>
    <t>한동우</t>
  </si>
  <si>
    <t>jhst1217@daum.net</t>
  </si>
  <si>
    <t>010-2516-9346</t>
  </si>
  <si>
    <t>지노시스</t>
    <phoneticPr fontId="19" type="noConversion"/>
  </si>
  <si>
    <t>314-86-31783</t>
  </si>
  <si>
    <t>오장진</t>
  </si>
  <si>
    <t>jinosys@naver.com</t>
    <phoneticPr fontId="19" type="noConversion"/>
  </si>
  <si>
    <t>010-9688-0512</t>
  </si>
  <si>
    <t>박영진</t>
  </si>
  <si>
    <t>pyjpark@nate.com</t>
  </si>
  <si>
    <t>010-4452-4492</t>
  </si>
  <si>
    <t>지우테크</t>
  </si>
  <si>
    <t>129-81-31064</t>
  </si>
  <si>
    <t>방준호</t>
  </si>
  <si>
    <t>jhbang@jiwootech.kr</t>
    <phoneticPr fontId="19" type="noConversion"/>
  </si>
  <si>
    <t>010-5920-8536</t>
  </si>
  <si>
    <t>최진수</t>
  </si>
  <si>
    <t>zschoi@jiwootech.kr</t>
  </si>
  <si>
    <t>010-7777-4684</t>
  </si>
  <si>
    <t>큐브더모먼트</t>
  </si>
  <si>
    <t>246-86-01399</t>
  </si>
  <si>
    <t>안민규</t>
  </si>
  <si>
    <t>ahnmg@cubetm.com</t>
    <phoneticPr fontId="19" type="noConversion"/>
  </si>
  <si>
    <t>010-2640-3611</t>
  </si>
  <si>
    <t>조남열</t>
  </si>
  <si>
    <t>본부장</t>
  </si>
  <si>
    <t>winer25@cubetm.com</t>
  </si>
  <si>
    <t>010-6804-3208</t>
  </si>
  <si>
    <t>킨스미디어</t>
  </si>
  <si>
    <t>264-81-14922</t>
  </si>
  <si>
    <t>손광석</t>
  </si>
  <si>
    <t>ceo@kinsmedia.com</t>
    <phoneticPr fontId="19" type="noConversion"/>
  </si>
  <si>
    <t>010-9532-0420</t>
  </si>
  <si>
    <t>이재협</t>
  </si>
  <si>
    <t>id98032@kinsmedia.com</t>
  </si>
  <si>
    <t>010-8963-2733</t>
  </si>
  <si>
    <t>태흥</t>
  </si>
  <si>
    <t>135-81-82200</t>
  </si>
  <si>
    <t>박훈철</t>
  </si>
  <si>
    <t>hcpark@tae-heung.co.kr</t>
    <phoneticPr fontId="19" type="noConversion"/>
  </si>
  <si>
    <t>010-9060-2642</t>
  </si>
  <si>
    <t>이승준</t>
  </si>
  <si>
    <t>sjlee@tae-heung.co.kr</t>
  </si>
  <si>
    <t>010-2922-1793</t>
  </si>
  <si>
    <t>탱크테크</t>
  </si>
  <si>
    <t>622-81-02199</t>
  </si>
  <si>
    <t>주영진</t>
  </si>
  <si>
    <t>yjjoo@tanktech.co.kr</t>
    <phoneticPr fontId="19" type="noConversion"/>
  </si>
  <si>
    <t>010-9321-1680</t>
  </si>
  <si>
    <t>이은실</t>
  </si>
  <si>
    <t>account@tanktech.co.kr</t>
  </si>
  <si>
    <t>010-8793-2522</t>
  </si>
  <si>
    <t>티비에이치</t>
    <phoneticPr fontId="19" type="noConversion"/>
  </si>
  <si>
    <t>474-87-00634</t>
  </si>
  <si>
    <t>최원영</t>
  </si>
  <si>
    <t>wychoi@daum.net</t>
    <phoneticPr fontId="19" type="noConversion"/>
  </si>
  <si>
    <t>010-3509-8440</t>
  </si>
  <si>
    <t>김주열</t>
  </si>
  <si>
    <t>bethe1st@daum.net</t>
  </si>
  <si>
    <t>010-9967-7910</t>
  </si>
  <si>
    <t>티앤엠에이아이</t>
    <phoneticPr fontId="19" type="noConversion"/>
  </si>
  <si>
    <t>549-86-03374</t>
  </si>
  <si>
    <t>남현</t>
  </si>
  <si>
    <t>hnam@tnmtech.com</t>
    <phoneticPr fontId="19" type="noConversion"/>
  </si>
  <si>
    <t>010-8207-0517</t>
  </si>
  <si>
    <t>윤지은</t>
  </si>
  <si>
    <t>jeyoon@tnmtech.com</t>
  </si>
  <si>
    <t>010-9136-7912</t>
  </si>
  <si>
    <t>파이어킴이에스</t>
  </si>
  <si>
    <t>219-88-00602</t>
  </si>
  <si>
    <t>오태구</t>
  </si>
  <si>
    <t>bridgeind@firekimes.com</t>
    <phoneticPr fontId="19" type="noConversion"/>
  </si>
  <si>
    <t>010-9133-5618</t>
  </si>
  <si>
    <t>곽영선</t>
  </si>
  <si>
    <t>yuhu0904@firekimes.com</t>
  </si>
  <si>
    <t>010-8931-0458</t>
  </si>
  <si>
    <t>피원</t>
    <phoneticPr fontId="19" type="noConversion"/>
  </si>
  <si>
    <t>279-87-00932</t>
  </si>
  <si>
    <t>임건우</t>
  </si>
  <si>
    <t>poneict0502@gmail.com</t>
    <phoneticPr fontId="19" type="noConversion"/>
  </si>
  <si>
    <t>010-9023-4887</t>
  </si>
  <si>
    <t>박창제</t>
  </si>
  <si>
    <t>messil848@gmail.com</t>
  </si>
  <si>
    <t>010-9878-3811</t>
  </si>
  <si>
    <t>해동실업</t>
  </si>
  <si>
    <t>306-87-02381</t>
  </si>
  <si>
    <t>조성철</t>
  </si>
  <si>
    <t>hd7274@naver.com</t>
    <phoneticPr fontId="19" type="noConversion"/>
  </si>
  <si>
    <t>010-8505-5383</t>
  </si>
  <si>
    <t>김오영</t>
  </si>
  <si>
    <t>hd7274@naver.com</t>
  </si>
  <si>
    <t>010-2869-1850</t>
  </si>
  <si>
    <t>휴먼디펜스</t>
  </si>
  <si>
    <t>495-86-02516</t>
  </si>
  <si>
    <t>이재환</t>
  </si>
  <si>
    <t>human-defence@naver.com</t>
    <phoneticPr fontId="19" type="noConversion"/>
  </si>
  <si>
    <t>010-6303-8684</t>
  </si>
  <si>
    <t>무브엔</t>
    <phoneticPr fontId="19" type="noConversion"/>
  </si>
  <si>
    <t>267-81-00219</t>
  </si>
  <si>
    <t>박찬희</t>
  </si>
  <si>
    <t>roypark3@muveen.com</t>
    <phoneticPr fontId="19" type="noConversion"/>
  </si>
  <si>
    <t>010-7675-9100</t>
  </si>
  <si>
    <t>백준협</t>
  </si>
  <si>
    <t>joonbaek@muveen.com</t>
  </si>
  <si>
    <t>010-3728-1310</t>
  </si>
  <si>
    <t>보호구</t>
  </si>
  <si>
    <t>비앤알</t>
  </si>
  <si>
    <t>131-81-78500</t>
  </si>
  <si>
    <t>김훈희</t>
  </si>
  <si>
    <t>팀장</t>
  </si>
  <si>
    <t>hoony220@vaxcon.com</t>
    <phoneticPr fontId="19" type="noConversion"/>
  </si>
  <si>
    <t>010-8817-2256</t>
  </si>
  <si>
    <t>이태경</t>
  </si>
  <si>
    <t>LeeT@vaxcon.com</t>
  </si>
  <si>
    <t>010-4119-1272</t>
  </si>
  <si>
    <t xml:space="preserve">세이프웨어 </t>
    <phoneticPr fontId="19" type="noConversion"/>
  </si>
  <si>
    <t>587-81-00466</t>
  </si>
  <si>
    <t>김영환</t>
  </si>
  <si>
    <t>brian@safeware.co.kr</t>
    <phoneticPr fontId="19" type="noConversion"/>
  </si>
  <si>
    <t>010-3010-0375</t>
  </si>
  <si>
    <t>에네스</t>
    <phoneticPr fontId="19" type="noConversion"/>
  </si>
  <si>
    <t>448-88-01169</t>
  </si>
  <si>
    <t>정재진</t>
  </si>
  <si>
    <t>dnflsksna@naver.com</t>
    <phoneticPr fontId="19" type="noConversion"/>
  </si>
  <si>
    <t>010-7749-5986</t>
  </si>
  <si>
    <t>이길호</t>
  </si>
  <si>
    <t>전무이사</t>
  </si>
  <si>
    <t>matrix307@naver.com</t>
  </si>
  <si>
    <t>010-5511-6121</t>
  </si>
  <si>
    <t>에이치에이치에스</t>
    <phoneticPr fontId="19" type="noConversion"/>
  </si>
  <si>
    <t>545-86-00259</t>
  </si>
  <si>
    <t>문경균</t>
  </si>
  <si>
    <t>ansxod1339@naver.com</t>
    <phoneticPr fontId="19" type="noConversion"/>
  </si>
  <si>
    <t>010-4045-2855</t>
  </si>
  <si>
    <t>김정욱</t>
  </si>
  <si>
    <t>전임</t>
  </si>
  <si>
    <t>jungwook312662@naver.com</t>
  </si>
  <si>
    <t>010-6676-9913</t>
  </si>
  <si>
    <t>에일리언테크놀로지아시아</t>
  </si>
  <si>
    <t>131-86-00327</t>
  </si>
  <si>
    <t>한승식</t>
  </si>
  <si>
    <t>rubyon@alienasia.com</t>
    <phoneticPr fontId="19" type="noConversion"/>
  </si>
  <si>
    <t>010-6261-9801</t>
  </si>
  <si>
    <t>박정은</t>
  </si>
  <si>
    <t>jepark@alienasia.com</t>
  </si>
  <si>
    <t>010-2788-3927</t>
  </si>
  <si>
    <t>유니드</t>
  </si>
  <si>
    <t>613-81-61025</t>
  </si>
  <si>
    <t>허석형</t>
  </si>
  <si>
    <t>hsh6055@unids.kr</t>
    <phoneticPr fontId="19" type="noConversion"/>
  </si>
  <si>
    <t>010-6585-6055</t>
  </si>
  <si>
    <t>강미리</t>
  </si>
  <si>
    <t>kkang7165@unids.kr</t>
  </si>
  <si>
    <t>010-5375-4128</t>
  </si>
  <si>
    <t>대한건설구조안전</t>
    <phoneticPr fontId="19" type="noConversion"/>
  </si>
  <si>
    <t>301-87-02858</t>
  </si>
  <si>
    <t>유승우</t>
  </si>
  <si>
    <t>sw.yoo@ikcss.co.kr</t>
    <phoneticPr fontId="19" type="noConversion"/>
  </si>
  <si>
    <t>010-3743-8745</t>
  </si>
  <si>
    <t>정기훈</t>
  </si>
  <si>
    <t>gh.jeong@ikcss.co.kr</t>
  </si>
  <si>
    <t>010-8323-9949</t>
  </si>
  <si>
    <t>행동교정</t>
    <phoneticPr fontId="19" type="noConversion"/>
  </si>
  <si>
    <t>대한안전보건교육원</t>
  </si>
  <si>
    <t>513-86-02814</t>
  </si>
  <si>
    <t>이범석</t>
  </si>
  <si>
    <t>부대표</t>
  </si>
  <si>
    <t>edu@kesh.co.kr</t>
    <phoneticPr fontId="19" type="noConversion"/>
  </si>
  <si>
    <t>010-9361-3944</t>
  </si>
  <si>
    <t>안유현</t>
  </si>
  <si>
    <t>edu@kesh.co.kr</t>
  </si>
  <si>
    <t>010-2544-9652</t>
  </si>
  <si>
    <t>행동교정</t>
  </si>
  <si>
    <t>드림캠퍼스</t>
    <phoneticPr fontId="19" type="noConversion"/>
  </si>
  <si>
    <t>457-81-00976</t>
  </si>
  <si>
    <t>서재홍</t>
  </si>
  <si>
    <t>miz@dreamcampus.co.kr</t>
    <phoneticPr fontId="19" type="noConversion"/>
  </si>
  <si>
    <t>010-7556-3721</t>
  </si>
  <si>
    <t>박명선</t>
  </si>
  <si>
    <t>supergirl35@dreamcampus.co.kr</t>
  </si>
  <si>
    <t>010-3919-0035</t>
  </si>
  <si>
    <t>엠라인스튜디오</t>
  </si>
  <si>
    <t>211-88-85418</t>
  </si>
  <si>
    <t>이재호</t>
  </si>
  <si>
    <t>jaylee@m-line.tv</t>
    <phoneticPr fontId="19" type="noConversion"/>
  </si>
  <si>
    <t>010-2992-6595</t>
  </si>
  <si>
    <t>한국산업안전협회</t>
  </si>
  <si>
    <t>416-81-80299</t>
  </si>
  <si>
    <t>서애민</t>
  </si>
  <si>
    <t>hanguksafe1@naver.com</t>
    <phoneticPr fontId="19" type="noConversion"/>
  </si>
  <si>
    <t>010-5607-5319</t>
  </si>
  <si>
    <t>안나경</t>
  </si>
  <si>
    <t>hanguksafe1@naver.com</t>
  </si>
  <si>
    <t>010-5731-4473</t>
  </si>
  <si>
    <t>한국지식가교</t>
    <phoneticPr fontId="19" type="noConversion"/>
  </si>
  <si>
    <t>175-86-03606</t>
  </si>
  <si>
    <t>박창욱</t>
  </si>
  <si>
    <t>bridge4k@hanmail.net</t>
    <phoneticPr fontId="19" type="noConversion"/>
  </si>
  <si>
    <t>010-6287-1328</t>
  </si>
  <si>
    <t>송향연</t>
  </si>
  <si>
    <t>ronya99@hanmail.net</t>
  </si>
  <si>
    <t>010-2624-3090</t>
  </si>
  <si>
    <t>휴디스텍</t>
    <phoneticPr fontId="19" type="noConversion"/>
  </si>
  <si>
    <t>138-81-48458</t>
  </si>
  <si>
    <t>이혜원</t>
  </si>
  <si>
    <t>lina@hudistech.com</t>
    <phoneticPr fontId="19" type="noConversion"/>
  </si>
  <si>
    <t>010-2846-1273</t>
  </si>
  <si>
    <t>김유선</t>
  </si>
  <si>
    <t>david@axentpro.co.kr</t>
  </si>
  <si>
    <t>010-5005-5130</t>
  </si>
  <si>
    <t>번호</t>
    <phoneticPr fontId="5" type="noConversion"/>
  </si>
  <si>
    <t>기업 01</t>
    <phoneticPr fontId="5" type="noConversion"/>
  </si>
  <si>
    <t>수요기업1</t>
    <phoneticPr fontId="5" type="noConversion"/>
  </si>
  <si>
    <t>수요기업2</t>
  </si>
  <si>
    <t>수요기업 수</t>
    <phoneticPr fontId="5" type="noConversion"/>
  </si>
  <si>
    <t>수요기업 명</t>
    <phoneticPr fontId="5" type="noConversion"/>
  </si>
  <si>
    <t>총 사회비용(원)</t>
    <phoneticPr fontId="5" type="noConversion"/>
  </si>
  <si>
    <t>hhskorea2016@gmail.com</t>
    <phoneticPr fontId="19" type="noConversion"/>
  </si>
  <si>
    <t>수요기업별
소계(원)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</si>
</sst>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25" x14ac:knownFonts="1">
    <font>
      <sz val="11"/>
      <color theme="1"/>
      <name val="Calibri"/>
      <family val="2"/>
      <charset val="1"/>
    </font>
    <font>
      <b/>
      <sz val="10"/>
      <color rgb="FF000000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color rgb="FFC0392B"/>
      <name val="맑은 고딕"/>
      <family val="3"/>
      <charset val="129"/>
    </font>
    <font>
      <b/>
      <sz val="10"/>
      <color rgb="FFC0392B"/>
      <name val="맑은 고딕"/>
      <family val="3"/>
      <charset val="129"/>
    </font>
    <font>
      <sz val="10"/>
      <color rgb="FF555555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7F8C8D"/>
      <name val="맑은 고딕"/>
      <family val="3"/>
      <charset val="129"/>
    </font>
    <font>
      <sz val="10"/>
      <color rgb="FF1A5276"/>
      <name val="맑은 고딕"/>
      <family val="3"/>
      <charset val="129"/>
    </font>
    <font>
      <sz val="10"/>
      <color rgb="FF7D6608"/>
      <name val="맑은 고딕"/>
      <family val="3"/>
      <charset val="129"/>
    </font>
    <font>
      <sz val="10"/>
      <color rgb="FF145A32"/>
      <name val="맑은 고딕"/>
      <family val="3"/>
      <charset val="129"/>
    </font>
    <font>
      <b/>
      <sz val="8"/>
      <color rgb="FF1A5276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b/>
      <sz val="8"/>
      <color rgb="FF7D6608"/>
      <name val="맑은 고딕"/>
      <family val="3"/>
      <charset val="129"/>
    </font>
    <font>
      <b/>
      <sz val="8"/>
      <color rgb="FF145A32"/>
      <name val="맑은 고딕"/>
      <family val="3"/>
      <charset val="129"/>
    </font>
    <font>
      <sz val="8"/>
      <name val="Arial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</fonts>
  <fills count="28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D6E4F0"/>
        <bgColor rgb="FFD5F5E3"/>
      </patternFill>
    </fill>
    <fill>
      <patternFill patternType="solid">
        <fgColor rgb="FFFFFFFF"/>
        <bgColor rgb="FFFFFDE7"/>
      </patternFill>
    </fill>
    <fill>
      <patternFill patternType="solid">
        <fgColor rgb="FFF2F3F4"/>
        <bgColor rgb="FFEBF5FB"/>
      </patternFill>
    </fill>
    <fill>
      <patternFill patternType="solid">
        <fgColor rgb="FFFADBD8"/>
        <bgColor rgb="FFFDEBD0"/>
      </patternFill>
    </fill>
    <fill>
      <patternFill patternType="solid">
        <fgColor rgb="FFFFF2CC"/>
        <bgColor rgb="FFFDEBD0"/>
      </patternFill>
    </fill>
    <fill>
      <patternFill patternType="solid">
        <fgColor rgb="FF2E75B6"/>
        <bgColor rgb="FF0066CC"/>
      </patternFill>
    </fill>
    <fill>
      <patternFill patternType="solid">
        <fgColor rgb="FFD5F5E3"/>
        <bgColor rgb="FFE8F5E9"/>
      </patternFill>
    </fill>
    <fill>
      <patternFill patternType="solid">
        <fgColor rgb="FFFDEBD0"/>
        <bgColor rgb="FFFFF2CC"/>
      </patternFill>
    </fill>
    <fill>
      <patternFill patternType="solid">
        <fgColor rgb="FF1A252F"/>
        <bgColor rgb="FF1F3864"/>
      </patternFill>
    </fill>
    <fill>
      <patternFill patternType="solid">
        <fgColor rgb="FFEBF5FB"/>
        <bgColor rgb="FFF2F3F4"/>
      </patternFill>
    </fill>
    <fill>
      <patternFill patternType="solid">
        <fgColor rgb="FFFFFDE7"/>
        <bgColor rgb="FFFFFFFF"/>
      </patternFill>
    </fill>
    <fill>
      <patternFill patternType="solid">
        <fgColor rgb="FFE8F5E9"/>
        <bgColor rgb="FFEBF5FB"/>
      </patternFill>
    </fill>
    <fill>
      <patternFill patternType="solid">
        <fgColor rgb="FFE74C3C"/>
        <bgColor rgb="FFC0392B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3F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EBF5FB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rgb="FFFDEBD0"/>
      </patternFill>
    </fill>
    <fill>
      <patternFill patternType="solid">
        <fgColor theme="1" tint="0.499984740745262"/>
        <bgColor rgb="FFFFF2CC"/>
      </patternFill>
    </fill>
    <fill>
      <patternFill patternType="solid">
        <fgColor theme="1"/>
        <bgColor rgb="FFFFFDE7"/>
      </patternFill>
    </fill>
    <fill>
      <patternFill patternType="solid">
        <fgColor theme="1"/>
        <bgColor rgb="FFEBF5FB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4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3" fontId="1" fillId="5" borderId="2" xfId="0" applyNumberFormat="1" applyFont="1" applyFill="1" applyBorder="1" applyAlignment="1">
      <alignment horizontal="center" vertical="center"/>
    </xf>
    <xf numFmtId="3" fontId="1" fillId="6" borderId="2" xfId="0" applyNumberFormat="1" applyFont="1" applyFill="1" applyBorder="1" applyAlignment="1">
      <alignment horizontal="center" vertical="center"/>
    </xf>
    <xf numFmtId="3" fontId="1" fillId="9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3" fontId="1" fillId="10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3" fontId="4" fillId="10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6" fillId="0" borderId="0" xfId="0" applyFont="1"/>
    <xf numFmtId="0" fontId="4" fillId="5" borderId="2" xfId="0" applyFont="1" applyFill="1" applyBorder="1" applyAlignment="1">
      <alignment horizontal="left" vertical="center" wrapText="1"/>
    </xf>
    <xf numFmtId="49" fontId="8" fillId="7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right" vertical="center"/>
    </xf>
    <xf numFmtId="3" fontId="4" fillId="5" borderId="2" xfId="0" applyNumberFormat="1" applyFont="1" applyFill="1" applyBorder="1" applyAlignment="1">
      <alignment horizontal="right" vertical="center"/>
    </xf>
    <xf numFmtId="0" fontId="3" fillId="8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left" vertical="center"/>
    </xf>
    <xf numFmtId="1" fontId="8" fillId="7" borderId="2" xfId="0" applyNumberFormat="1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left" vertical="center"/>
    </xf>
    <xf numFmtId="0" fontId="14" fillId="14" borderId="2" xfId="0" applyFont="1" applyFill="1" applyBorder="1" applyAlignment="1">
      <alignment horizontal="left" vertical="center"/>
    </xf>
    <xf numFmtId="3" fontId="3" fillId="15" borderId="2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3" fontId="1" fillId="10" borderId="2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right"/>
    </xf>
    <xf numFmtId="3" fontId="3" fillId="11" borderId="2" xfId="0" applyNumberFormat="1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right" vertical="center"/>
    </xf>
    <xf numFmtId="3" fontId="6" fillId="0" borderId="0" xfId="0" applyNumberFormat="1" applyFont="1" applyFill="1" applyBorder="1"/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right" vertical="center"/>
    </xf>
    <xf numFmtId="0" fontId="6" fillId="16" borderId="2" xfId="0" applyFont="1" applyFill="1" applyBorder="1"/>
    <xf numFmtId="0" fontId="16" fillId="16" borderId="2" xfId="0" applyFont="1" applyFill="1" applyBorder="1" applyAlignment="1">
      <alignment horizontal="right"/>
    </xf>
    <xf numFmtId="0" fontId="15" fillId="17" borderId="2" xfId="0" applyFont="1" applyFill="1" applyBorder="1" applyAlignment="1">
      <alignment horizontal="right" vertical="center"/>
    </xf>
    <xf numFmtId="3" fontId="16" fillId="16" borderId="2" xfId="0" applyNumberFormat="1" applyFont="1" applyFill="1" applyBorder="1"/>
    <xf numFmtId="0" fontId="17" fillId="18" borderId="2" xfId="0" applyFont="1" applyFill="1" applyBorder="1" applyAlignment="1">
      <alignment horizontal="right" vertical="center"/>
    </xf>
    <xf numFmtId="0" fontId="18" fillId="19" borderId="2" xfId="0" applyFont="1" applyFill="1" applyBorder="1" applyAlignment="1">
      <alignment horizontal="right" vertical="center"/>
    </xf>
    <xf numFmtId="0" fontId="21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0" fontId="21" fillId="20" borderId="0" xfId="0" applyFont="1" applyFill="1" applyAlignment="1">
      <alignment horizontal="center"/>
    </xf>
    <xf numFmtId="0" fontId="21" fillId="20" borderId="0" xfId="0" applyFont="1" applyFill="1" applyAlignment="1">
      <alignment horizontal="center" vertical="center"/>
    </xf>
    <xf numFmtId="0" fontId="21" fillId="20" borderId="3" xfId="0" applyFont="1" applyFill="1" applyBorder="1" applyAlignment="1">
      <alignment horizontal="center" vertical="center"/>
    </xf>
    <xf numFmtId="0" fontId="21" fillId="20" borderId="2" xfId="0" applyFont="1" applyFill="1" applyBorder="1" applyAlignment="1">
      <alignment horizontal="center" vertical="center"/>
    </xf>
    <xf numFmtId="0" fontId="21" fillId="20" borderId="2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6" fillId="21" borderId="2" xfId="0" applyFont="1" applyFill="1" applyBorder="1" applyAlignment="1">
      <alignment vertical="center"/>
    </xf>
    <xf numFmtId="0" fontId="0" fillId="21" borderId="2" xfId="0" applyFill="1" applyBorder="1"/>
    <xf numFmtId="0" fontId="6" fillId="21" borderId="2" xfId="0" applyFont="1" applyFill="1" applyBorder="1" applyAlignment="1">
      <alignment horizontal="center" vertical="center"/>
    </xf>
    <xf numFmtId="0" fontId="4" fillId="21" borderId="2" xfId="0" applyFont="1" applyFill="1" applyBorder="1"/>
    <xf numFmtId="0" fontId="20" fillId="21" borderId="2" xfId="0" applyFont="1" applyFill="1" applyBorder="1" applyAlignment="1">
      <alignment vertical="center"/>
    </xf>
    <xf numFmtId="0" fontId="4" fillId="22" borderId="2" xfId="0" applyFont="1" applyFill="1" applyBorder="1" applyAlignment="1">
      <alignment horizontal="center"/>
    </xf>
    <xf numFmtId="0" fontId="6" fillId="22" borderId="2" xfId="0" applyFont="1" applyFill="1" applyBorder="1" applyAlignment="1">
      <alignment vertical="center"/>
    </xf>
    <xf numFmtId="0" fontId="0" fillId="22" borderId="2" xfId="0" applyFill="1" applyBorder="1"/>
    <xf numFmtId="0" fontId="6" fillId="22" borderId="2" xfId="0" applyFont="1" applyFill="1" applyBorder="1" applyAlignment="1">
      <alignment horizontal="center" vertical="center"/>
    </xf>
    <xf numFmtId="0" fontId="4" fillId="22" borderId="2" xfId="0" applyFont="1" applyFill="1" applyBorder="1"/>
    <xf numFmtId="0" fontId="4" fillId="23" borderId="2" xfId="0" applyFont="1" applyFill="1" applyBorder="1" applyAlignment="1">
      <alignment horizontal="center"/>
    </xf>
    <xf numFmtId="0" fontId="6" fillId="23" borderId="2" xfId="0" applyFont="1" applyFill="1" applyBorder="1" applyAlignment="1">
      <alignment vertical="center"/>
    </xf>
    <xf numFmtId="0" fontId="0" fillId="23" borderId="2" xfId="0" applyFill="1" applyBorder="1"/>
    <xf numFmtId="0" fontId="6" fillId="23" borderId="2" xfId="0" applyFont="1" applyFill="1" applyBorder="1" applyAlignment="1">
      <alignment horizontal="center" vertical="center"/>
    </xf>
    <xf numFmtId="0" fontId="4" fillId="23" borderId="2" xfId="0" applyFont="1" applyFill="1" applyBorder="1"/>
    <xf numFmtId="1" fontId="8" fillId="24" borderId="2" xfId="0" applyNumberFormat="1" applyFont="1" applyFill="1" applyBorder="1" applyAlignment="1">
      <alignment horizontal="center" vertical="center"/>
    </xf>
    <xf numFmtId="3" fontId="4" fillId="25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176" fontId="1" fillId="5" borderId="1" xfId="0" applyNumberFormat="1" applyFont="1" applyFill="1" applyBorder="1" applyAlignment="1">
      <alignment horizontal="left" vertical="center"/>
    </xf>
    <xf numFmtId="49" fontId="8" fillId="7" borderId="1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3" fontId="4" fillId="5" borderId="3" xfId="0" applyNumberFormat="1" applyFont="1" applyFill="1" applyBorder="1" applyAlignment="1">
      <alignment horizontal="center" vertical="center"/>
    </xf>
    <xf numFmtId="3" fontId="4" fillId="26" borderId="2" xfId="0" applyNumberFormat="1" applyFont="1" applyFill="1" applyBorder="1" applyAlignment="1">
      <alignment horizontal="right" vertical="center"/>
    </xf>
    <xf numFmtId="3" fontId="22" fillId="26" borderId="2" xfId="0" applyNumberFormat="1" applyFont="1" applyFill="1" applyBorder="1" applyAlignment="1">
      <alignment horizontal="right" vertical="center"/>
    </xf>
    <xf numFmtId="3" fontId="22" fillId="27" borderId="2" xfId="0" applyNumberFormat="1" applyFont="1" applyFill="1" applyBorder="1" applyAlignment="1">
      <alignment horizontal="right" vertical="center"/>
    </xf>
    <xf numFmtId="3" fontId="23" fillId="16" borderId="0" xfId="0" applyNumberFormat="1" applyFont="1" applyFill="1" applyAlignment="1">
      <alignment horizontal="right"/>
    </xf>
    <xf numFmtId="0" fontId="16" fillId="16" borderId="0" xfId="0" applyFont="1" applyFill="1" applyAlignment="1">
      <alignment horizontal="right"/>
    </xf>
    <xf numFmtId="0" fontId="24" fillId="22" borderId="2" xfId="0" applyFont="1" applyFill="1" applyBorder="1" applyAlignment="1">
      <alignment vertical="center"/>
    </xf>
    <xf numFmtId="0" fontId="0" fillId="22" borderId="0" xfId="0" applyFill="1"/>
  </cellXfs>
  <cellStyles count="1">
    <cellStyle name="표준" xfId="0" builtinId="0"/>
  </cellStyles>
  <dxfs count="31"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none"/>
      </font>
      <fill>
        <patternFill patternType="none">
          <bgColor auto="1"/>
        </patternFill>
      </fill>
    </dxf>
    <dxf>
      <font>
        <b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none"/>
      </font>
      <fill>
        <gradientFill degree="90">
          <stop position="0">
            <color theme="0"/>
          </stop>
          <stop position="1">
            <color theme="4"/>
          </stop>
        </gradientFill>
      </fill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설문지 응답 시트1-style" pivot="0" count="4" xr9:uid="{6CB33699-3EAB-4AED-A182-9A803C069790}">
      <tableStyleElement type="wholeTable" size="0" dxfId="30"/>
      <tableStyleElement type="headerRow" dxfId="29"/>
      <tableStyleElement type="firstRowStripe" dxfId="28"/>
      <tableStyleElement type="secondRowStripe" dxfId="27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7D6608"/>
      <rgbColor rgb="FF800080"/>
      <rgbColor rgb="FF008080"/>
      <rgbColor rgb="FFFDEBD0"/>
      <rgbColor rgb="FF7F8C8D"/>
      <rgbColor rgb="FF9999FF"/>
      <rgbColor rgb="FF993366"/>
      <rgbColor rgb="FFFFFDE7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FF2CC"/>
      <rgbColor rgb="FFF2F3F4"/>
      <rgbColor rgb="FFFF99CC"/>
      <rgbColor rgb="FFCC99FF"/>
      <rgbColor rgb="FFFADBD8"/>
      <rgbColor rgb="FF2E75B6"/>
      <rgbColor rgb="FF33CCCC"/>
      <rgbColor rgb="FF99CC00"/>
      <rgbColor rgb="FFFFCC00"/>
      <rgbColor rgb="FFFF9900"/>
      <rgbColor rgb="FFE74C3C"/>
      <rgbColor rgb="FF555555"/>
      <rgbColor rgb="FF969696"/>
      <rgbColor rgb="FF1F3864"/>
      <rgbColor rgb="FF339966"/>
      <rgbColor rgb="FF003300"/>
      <rgbColor rgb="FF333300"/>
      <rgbColor rgb="FFC0392B"/>
      <rgbColor rgb="FF993366"/>
      <rgbColor rgb="FF1A5276"/>
      <rgbColor rgb="FF1A25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217B6E-4B9C-4619-8B09-B7E4BF0FE532}" name="Form_Responses3" displayName="Form_Responses3" ref="B1:R51" headerRowDxfId="26" dataDxfId="25" totalsRowDxfId="24">
  <autoFilter ref="B1:R51" xr:uid="{2C217B6E-4B9C-4619-8B09-B7E4BF0FE532}"/>
  <sortState xmlns:xlrd2="http://schemas.microsoft.com/office/spreadsheetml/2017/richdata2" ref="B2:M51">
    <sortCondition ref="M1:M51"/>
  </sortState>
  <tableColumns count="17">
    <tableColumn id="2" xr3:uid="{70EEA089-5149-4715-9A8E-344EB5C02B6A}" name="기업명" dataDxfId="23"/>
    <tableColumn id="3" xr3:uid="{1A9E1B6A-18D3-46EE-8937-C1B1CF015C3A}" name="사업자등록번호 (예시: 000-00-00000)" dataDxfId="22"/>
    <tableColumn id="4" xr3:uid="{112AB390-3A5A-4CBB-A48D-D1F88231987B}" name="성명" dataDxfId="21"/>
    <tableColumn id="5" xr3:uid="{0A7DAD5D-FBCC-4C5C-93D4-29E8C960C5EF}" name="직책" dataDxfId="20"/>
    <tableColumn id="6" xr3:uid="{C5F627EF-379B-4C48-A71A-F7F8867FE0E2}" name="이메일 주소" dataDxfId="19"/>
    <tableColumn id="7" xr3:uid="{4D0BA58F-575B-4CCD-A1D3-4B61E640E0F4}" name="휴대폰 번호 (예시: 010-1234-5678)" dataDxfId="18"/>
    <tableColumn id="8" xr3:uid="{265EF166-922B-43C5-A4A3-DC368C4D5341}" name="부담당자 성명" dataDxfId="17"/>
    <tableColumn id="9" xr3:uid="{60D6A62A-3D40-4F84-B35A-F9FCE1E3F1F6}" name="부담당자 직책" dataDxfId="16"/>
    <tableColumn id="10" xr3:uid="{90E1A694-1E77-4DAC-8887-FD82A73E70E1}" name="부담당자 이메일 주소" dataDxfId="15"/>
    <tableColumn id="11" xr3:uid="{182BCA7E-6403-415A-AF3C-95D7844404CE}" name="부담당자 휴대폰 번호 (예시: 010-1234-5678)" dataDxfId="14"/>
    <tableColumn id="14" xr3:uid="{00CD43D6-56FE-44C6-8804-FD574010D190}" name="1차 사업비(백만원)" dataDxfId="13"/>
    <tableColumn id="13" xr3:uid="{DD52DAEE-1665-4A47-B24F-2C6AA68611D6}" name="솔루션" dataDxfId="12"/>
    <tableColumn id="1" xr3:uid="{72D9B289-355E-4041-B4EC-502072373BD7}" name="수요기업1" dataDxfId="11" totalsRowDxfId="10"/>
    <tableColumn id="12" xr3:uid="{6A1BE893-3833-4A65-9C3D-2FAEF75FE9D6}" name="수요기업2" dataDxfId="9" totalsRowDxfId="8"/>
    <tableColumn id="15" xr3:uid="{1FAB8D6B-7A6F-4FAC-AD2A-9116EDE44732}" name="수요기업3" dataDxfId="7" totalsRowDxfId="6"/>
    <tableColumn id="16" xr3:uid="{992B18B4-A6B4-4A7D-A299-41B6E84C2003}" name="수요기업4" dataDxfId="5" totalsRowDxfId="4"/>
    <tableColumn id="17" xr3:uid="{455C4ED1-C18B-4BBD-A99D-B678F3010C8E}" name="수요기업5" dataDxfId="3" totalsRowDxfId="2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90" zoomScaleNormal="90" workbookViewId="0">
      <selection activeCell="C32" sqref="C32"/>
    </sheetView>
  </sheetViews>
  <sheetFormatPr defaultColWidth="8.7109375" defaultRowHeight="13.5" x14ac:dyDescent="0.25"/>
  <cols>
    <col min="1" max="1" width="12.140625" style="16" bestFit="1" customWidth="1"/>
    <col min="2" max="2" width="18.85546875" style="16" bestFit="1" customWidth="1"/>
    <col min="3" max="3" width="71" style="16" bestFit="1" customWidth="1"/>
    <col min="4" max="16384" width="8.7109375" style="16"/>
  </cols>
  <sheetData>
    <row r="1" spans="1:3" x14ac:dyDescent="0.25">
      <c r="A1" s="78" t="s">
        <v>51</v>
      </c>
      <c r="B1" s="78"/>
      <c r="C1" s="78"/>
    </row>
    <row r="3" spans="1:3" ht="24" customHeight="1" x14ac:dyDescent="0.25">
      <c r="A3" s="2" t="s">
        <v>50</v>
      </c>
      <c r="B3" s="1" t="s">
        <v>39</v>
      </c>
      <c r="C3" s="17" t="s">
        <v>40</v>
      </c>
    </row>
    <row r="4" spans="1:3" ht="24" customHeight="1" x14ac:dyDescent="0.25">
      <c r="A4" s="2" t="s">
        <v>0</v>
      </c>
      <c r="B4" s="1" t="s">
        <v>1</v>
      </c>
      <c r="C4" s="17" t="s">
        <v>41</v>
      </c>
    </row>
    <row r="5" spans="1:3" ht="24" customHeight="1" x14ac:dyDescent="0.25">
      <c r="A5" s="2" t="s">
        <v>2</v>
      </c>
      <c r="B5" s="1" t="s">
        <v>42</v>
      </c>
      <c r="C5" s="17" t="s">
        <v>43</v>
      </c>
    </row>
    <row r="6" spans="1:3" ht="24" customHeight="1" x14ac:dyDescent="0.25">
      <c r="A6" s="2" t="s">
        <v>3</v>
      </c>
      <c r="B6" s="1" t="s">
        <v>4</v>
      </c>
      <c r="C6" s="17" t="s">
        <v>44</v>
      </c>
    </row>
    <row r="7" spans="1:3" ht="24" customHeight="1" x14ac:dyDescent="0.25">
      <c r="A7" s="2" t="s">
        <v>5</v>
      </c>
      <c r="B7" s="1" t="s">
        <v>6</v>
      </c>
      <c r="C7" s="17" t="s">
        <v>45</v>
      </c>
    </row>
    <row r="8" spans="1:3" ht="24" customHeight="1" x14ac:dyDescent="0.25">
      <c r="A8" s="2" t="s">
        <v>7</v>
      </c>
      <c r="B8" s="1" t="s">
        <v>8</v>
      </c>
      <c r="C8" s="17" t="s">
        <v>46</v>
      </c>
    </row>
    <row r="9" spans="1:3" ht="24" customHeight="1" x14ac:dyDescent="0.25">
      <c r="A9" s="15" t="s">
        <v>9</v>
      </c>
      <c r="B9" s="1" t="s">
        <v>10</v>
      </c>
      <c r="C9" s="17" t="s">
        <v>47</v>
      </c>
    </row>
    <row r="10" spans="1:3" ht="24" customHeight="1" x14ac:dyDescent="0.25">
      <c r="A10" s="15" t="s">
        <v>11</v>
      </c>
      <c r="B10" s="1" t="s">
        <v>12</v>
      </c>
      <c r="C10" s="17" t="s">
        <v>48</v>
      </c>
    </row>
    <row r="11" spans="1:3" ht="24" customHeight="1" x14ac:dyDescent="0.25">
      <c r="A11" s="15" t="s">
        <v>13</v>
      </c>
      <c r="B11" s="1" t="s">
        <v>14</v>
      </c>
      <c r="C11" s="17" t="s">
        <v>49</v>
      </c>
    </row>
  </sheetData>
  <mergeCells count="1">
    <mergeCell ref="A1:C1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3A3D1-7203-46E3-8E42-3CBDB6C57691}">
  <dimension ref="A1:W51"/>
  <sheetViews>
    <sheetView zoomScale="85" zoomScaleNormal="85" workbookViewId="0">
      <pane xSplit="13" ySplit="1" topLeftCell="N2" activePane="bottomRight" state="frozen"/>
      <selection pane="topRight" activeCell="N1" sqref="N1"/>
      <selection pane="bottomLeft" activeCell="A2" sqref="A2"/>
      <selection pane="bottomRight" activeCell="K42" sqref="K42"/>
    </sheetView>
  </sheetViews>
  <sheetFormatPr defaultColWidth="12.5703125" defaultRowHeight="13.5" x14ac:dyDescent="0.25"/>
  <cols>
    <col min="1" max="1" width="8.5703125" style="53" customWidth="1"/>
    <col min="2" max="2" width="17.28515625" style="54" customWidth="1"/>
    <col min="3" max="3" width="9.42578125" style="54" customWidth="1"/>
    <col min="4" max="4" width="9" style="54" customWidth="1"/>
    <col min="5" max="5" width="7" style="54" customWidth="1"/>
    <col min="6" max="6" width="18.7109375" style="54" customWidth="1"/>
    <col min="7" max="7" width="14.42578125" style="54" customWidth="1"/>
    <col min="8" max="11" width="10.85546875" style="54" customWidth="1"/>
    <col min="12" max="12" width="17.5703125" style="53" customWidth="1"/>
    <col min="13" max="13" width="12.85546875" style="54" customWidth="1"/>
    <col min="14" max="14" width="16.7109375" style="53" customWidth="1"/>
    <col min="15" max="18" width="16.7109375" style="54" customWidth="1"/>
    <col min="19" max="16384" width="12.5703125" style="54"/>
  </cols>
  <sheetData>
    <row r="1" spans="1:18" s="52" customFormat="1" x14ac:dyDescent="0.25">
      <c r="A1" s="55" t="s">
        <v>620</v>
      </c>
      <c r="B1" s="56" t="s">
        <v>17</v>
      </c>
      <c r="C1" s="56" t="s">
        <v>183</v>
      </c>
      <c r="D1" s="57" t="s">
        <v>184</v>
      </c>
      <c r="E1" s="57" t="s">
        <v>185</v>
      </c>
      <c r="F1" s="57" t="s">
        <v>186</v>
      </c>
      <c r="G1" s="57" t="s">
        <v>187</v>
      </c>
      <c r="H1" s="58" t="s">
        <v>188</v>
      </c>
      <c r="I1" s="58" t="s">
        <v>189</v>
      </c>
      <c r="J1" s="58" t="s">
        <v>190</v>
      </c>
      <c r="K1" s="58" t="s">
        <v>191</v>
      </c>
      <c r="L1" s="58" t="s">
        <v>192</v>
      </c>
      <c r="M1" s="58" t="s">
        <v>193</v>
      </c>
      <c r="N1" s="59" t="s">
        <v>194</v>
      </c>
      <c r="O1" s="59" t="s">
        <v>195</v>
      </c>
      <c r="P1" s="59" t="s">
        <v>196</v>
      </c>
      <c r="Q1" s="59" t="s">
        <v>197</v>
      </c>
      <c r="R1" s="59" t="s">
        <v>198</v>
      </c>
    </row>
    <row r="2" spans="1:18" ht="17.100000000000001" customHeight="1" x14ac:dyDescent="0.25">
      <c r="A2" s="60" t="s">
        <v>621</v>
      </c>
      <c r="B2" s="61" t="s">
        <v>199</v>
      </c>
      <c r="C2" s="61" t="s">
        <v>200</v>
      </c>
      <c r="D2" s="61" t="s">
        <v>201</v>
      </c>
      <c r="E2" s="61" t="s">
        <v>202</v>
      </c>
      <c r="F2" s="62" t="s">
        <v>203</v>
      </c>
      <c r="G2" s="61" t="s">
        <v>204</v>
      </c>
      <c r="H2" s="61" t="s">
        <v>205</v>
      </c>
      <c r="I2" s="61" t="s">
        <v>206</v>
      </c>
      <c r="J2" s="61" t="s">
        <v>207</v>
      </c>
      <c r="K2" s="61" t="s">
        <v>208</v>
      </c>
      <c r="L2" s="63">
        <v>60</v>
      </c>
      <c r="M2" s="63" t="s">
        <v>209</v>
      </c>
      <c r="N2" s="60"/>
      <c r="O2" s="64"/>
      <c r="P2" s="64"/>
      <c r="Q2" s="64"/>
      <c r="R2" s="64"/>
    </row>
    <row r="3" spans="1:18" ht="17.100000000000001" customHeight="1" x14ac:dyDescent="0.25">
      <c r="A3" s="60" t="s">
        <v>84</v>
      </c>
      <c r="B3" s="61" t="s">
        <v>210</v>
      </c>
      <c r="C3" s="61" t="s">
        <v>211</v>
      </c>
      <c r="D3" s="61" t="s">
        <v>212</v>
      </c>
      <c r="E3" s="61" t="s">
        <v>213</v>
      </c>
      <c r="F3" s="62" t="s">
        <v>214</v>
      </c>
      <c r="G3" s="61" t="s">
        <v>215</v>
      </c>
      <c r="H3" s="64"/>
      <c r="I3" s="64"/>
      <c r="J3" s="64"/>
      <c r="K3" s="64"/>
      <c r="L3" s="60">
        <v>70</v>
      </c>
      <c r="M3" s="60" t="s">
        <v>209</v>
      </c>
      <c r="N3" s="60"/>
      <c r="O3" s="64"/>
      <c r="P3" s="64"/>
      <c r="Q3" s="64"/>
      <c r="R3" s="64"/>
    </row>
    <row r="4" spans="1:18" ht="17.100000000000001" customHeight="1" x14ac:dyDescent="0.25">
      <c r="A4" s="60" t="s">
        <v>86</v>
      </c>
      <c r="B4" s="61" t="s">
        <v>216</v>
      </c>
      <c r="C4" s="61" t="s">
        <v>217</v>
      </c>
      <c r="D4" s="61" t="s">
        <v>218</v>
      </c>
      <c r="E4" s="61" t="s">
        <v>219</v>
      </c>
      <c r="F4" s="62" t="s">
        <v>220</v>
      </c>
      <c r="G4" s="61" t="s">
        <v>221</v>
      </c>
      <c r="H4" s="61" t="s">
        <v>222</v>
      </c>
      <c r="I4" s="61" t="s">
        <v>202</v>
      </c>
      <c r="J4" s="61" t="s">
        <v>223</v>
      </c>
      <c r="K4" s="61" t="s">
        <v>224</v>
      </c>
      <c r="L4" s="63">
        <v>100</v>
      </c>
      <c r="M4" s="63" t="s">
        <v>209</v>
      </c>
      <c r="N4" s="60"/>
      <c r="O4" s="64"/>
      <c r="P4" s="64"/>
      <c r="Q4" s="64"/>
      <c r="R4" s="64"/>
    </row>
    <row r="5" spans="1:18" ht="17.100000000000001" customHeight="1" x14ac:dyDescent="0.25">
      <c r="A5" s="60" t="s">
        <v>88</v>
      </c>
      <c r="B5" s="61" t="s">
        <v>225</v>
      </c>
      <c r="C5" s="61" t="s">
        <v>226</v>
      </c>
      <c r="D5" s="61" t="s">
        <v>227</v>
      </c>
      <c r="E5" s="61" t="s">
        <v>206</v>
      </c>
      <c r="F5" s="62" t="s">
        <v>228</v>
      </c>
      <c r="G5" s="61" t="s">
        <v>229</v>
      </c>
      <c r="H5" s="61" t="s">
        <v>230</v>
      </c>
      <c r="I5" s="61" t="s">
        <v>231</v>
      </c>
      <c r="J5" s="61" t="s">
        <v>232</v>
      </c>
      <c r="K5" s="61" t="s">
        <v>233</v>
      </c>
      <c r="L5" s="63">
        <v>80</v>
      </c>
      <c r="M5" s="63" t="s">
        <v>209</v>
      </c>
      <c r="N5" s="60"/>
      <c r="O5" s="64"/>
      <c r="P5" s="64"/>
      <c r="Q5" s="64"/>
      <c r="R5" s="64"/>
    </row>
    <row r="6" spans="1:18" ht="17.100000000000001" customHeight="1" x14ac:dyDescent="0.25">
      <c r="A6" s="60" t="s">
        <v>90</v>
      </c>
      <c r="B6" s="61" t="s">
        <v>234</v>
      </c>
      <c r="C6" s="61" t="s">
        <v>235</v>
      </c>
      <c r="D6" s="65" t="s">
        <v>236</v>
      </c>
      <c r="E6" s="65" t="s">
        <v>237</v>
      </c>
      <c r="F6" s="62" t="s">
        <v>238</v>
      </c>
      <c r="G6" s="65" t="s">
        <v>239</v>
      </c>
      <c r="H6" s="61" t="s">
        <v>240</v>
      </c>
      <c r="I6" s="61" t="s">
        <v>231</v>
      </c>
      <c r="J6" s="61" t="s">
        <v>241</v>
      </c>
      <c r="K6" s="61" t="s">
        <v>242</v>
      </c>
      <c r="L6" s="63">
        <v>100</v>
      </c>
      <c r="M6" s="63" t="s">
        <v>209</v>
      </c>
      <c r="N6" s="60"/>
      <c r="O6" s="64"/>
      <c r="P6" s="64"/>
      <c r="Q6" s="64"/>
      <c r="R6" s="64"/>
    </row>
    <row r="7" spans="1:18" ht="17.100000000000001" customHeight="1" x14ac:dyDescent="0.25">
      <c r="A7" s="60" t="s">
        <v>92</v>
      </c>
      <c r="B7" s="61" t="s">
        <v>243</v>
      </c>
      <c r="C7" s="61" t="s">
        <v>244</v>
      </c>
      <c r="D7" s="61" t="s">
        <v>245</v>
      </c>
      <c r="E7" s="61" t="s">
        <v>246</v>
      </c>
      <c r="F7" s="62" t="s">
        <v>247</v>
      </c>
      <c r="G7" s="61" t="s">
        <v>248</v>
      </c>
      <c r="H7" s="61" t="s">
        <v>249</v>
      </c>
      <c r="I7" s="61" t="s">
        <v>250</v>
      </c>
      <c r="J7" s="61" t="s">
        <v>251</v>
      </c>
      <c r="K7" s="61" t="s">
        <v>252</v>
      </c>
      <c r="L7" s="63">
        <v>100</v>
      </c>
      <c r="M7" s="63" t="s">
        <v>209</v>
      </c>
      <c r="N7" s="60"/>
      <c r="O7" s="64"/>
      <c r="P7" s="64"/>
      <c r="Q7" s="64"/>
      <c r="R7" s="64"/>
    </row>
    <row r="8" spans="1:18" ht="17.100000000000001" customHeight="1" x14ac:dyDescent="0.25">
      <c r="A8" s="60" t="s">
        <v>94</v>
      </c>
      <c r="B8" s="61" t="s">
        <v>253</v>
      </c>
      <c r="C8" s="61" t="s">
        <v>254</v>
      </c>
      <c r="D8" s="61" t="s">
        <v>255</v>
      </c>
      <c r="E8" s="61" t="s">
        <v>256</v>
      </c>
      <c r="F8" s="62" t="s">
        <v>257</v>
      </c>
      <c r="G8" s="61" t="s">
        <v>258</v>
      </c>
      <c r="H8" s="61" t="s">
        <v>259</v>
      </c>
      <c r="I8" s="61" t="s">
        <v>260</v>
      </c>
      <c r="J8" s="61" t="s">
        <v>261</v>
      </c>
      <c r="K8" s="61" t="s">
        <v>262</v>
      </c>
      <c r="L8" s="63">
        <v>70</v>
      </c>
      <c r="M8" s="63" t="s">
        <v>209</v>
      </c>
      <c r="N8" s="60"/>
      <c r="O8" s="64"/>
      <c r="P8" s="64"/>
      <c r="Q8" s="64"/>
      <c r="R8" s="64"/>
    </row>
    <row r="9" spans="1:18" ht="17.100000000000001" customHeight="1" x14ac:dyDescent="0.25">
      <c r="A9" s="60" t="s">
        <v>96</v>
      </c>
      <c r="B9" s="61" t="s">
        <v>263</v>
      </c>
      <c r="C9" s="61" t="s">
        <v>264</v>
      </c>
      <c r="D9" s="61" t="s">
        <v>265</v>
      </c>
      <c r="E9" s="61" t="s">
        <v>266</v>
      </c>
      <c r="F9" s="62" t="s">
        <v>267</v>
      </c>
      <c r="G9" s="61" t="s">
        <v>268</v>
      </c>
      <c r="H9" s="61" t="s">
        <v>269</v>
      </c>
      <c r="I9" s="61" t="s">
        <v>250</v>
      </c>
      <c r="J9" s="61" t="s">
        <v>270</v>
      </c>
      <c r="K9" s="61" t="s">
        <v>271</v>
      </c>
      <c r="L9" s="63">
        <v>80</v>
      </c>
      <c r="M9" s="63" t="s">
        <v>209</v>
      </c>
      <c r="N9" s="60"/>
      <c r="O9" s="64"/>
      <c r="P9" s="64"/>
      <c r="Q9" s="64"/>
      <c r="R9" s="64"/>
    </row>
    <row r="10" spans="1:18" ht="17.100000000000001" customHeight="1" x14ac:dyDescent="0.25">
      <c r="A10" s="60" t="s">
        <v>98</v>
      </c>
      <c r="B10" s="61" t="s">
        <v>272</v>
      </c>
      <c r="C10" s="61" t="s">
        <v>273</v>
      </c>
      <c r="D10" s="61" t="s">
        <v>274</v>
      </c>
      <c r="E10" s="61" t="s">
        <v>275</v>
      </c>
      <c r="F10" s="62" t="s">
        <v>276</v>
      </c>
      <c r="G10" s="61" t="s">
        <v>277</v>
      </c>
      <c r="H10" s="61" t="s">
        <v>278</v>
      </c>
      <c r="I10" s="61" t="s">
        <v>279</v>
      </c>
      <c r="J10" s="61" t="s">
        <v>280</v>
      </c>
      <c r="K10" s="61" t="s">
        <v>281</v>
      </c>
      <c r="L10" s="63">
        <v>70</v>
      </c>
      <c r="M10" s="63" t="s">
        <v>209</v>
      </c>
      <c r="N10" s="60"/>
      <c r="O10" s="64"/>
      <c r="P10" s="64"/>
      <c r="Q10" s="64"/>
      <c r="R10" s="64"/>
    </row>
    <row r="11" spans="1:18" ht="17.100000000000001" customHeight="1" x14ac:dyDescent="0.25">
      <c r="A11" s="60" t="s">
        <v>100</v>
      </c>
      <c r="B11" s="61" t="s">
        <v>282</v>
      </c>
      <c r="C11" s="61" t="s">
        <v>283</v>
      </c>
      <c r="D11" s="61" t="s">
        <v>284</v>
      </c>
      <c r="E11" s="61" t="s">
        <v>285</v>
      </c>
      <c r="F11" s="62" t="s">
        <v>286</v>
      </c>
      <c r="G11" s="61" t="s">
        <v>287</v>
      </c>
      <c r="H11" s="61" t="s">
        <v>288</v>
      </c>
      <c r="I11" s="61" t="s">
        <v>285</v>
      </c>
      <c r="J11" s="61" t="s">
        <v>289</v>
      </c>
      <c r="K11" s="61" t="s">
        <v>290</v>
      </c>
      <c r="L11" s="63">
        <v>80</v>
      </c>
      <c r="M11" s="63" t="s">
        <v>209</v>
      </c>
      <c r="N11" s="60"/>
      <c r="O11" s="64"/>
      <c r="P11" s="64"/>
      <c r="Q11" s="64"/>
      <c r="R11" s="64"/>
    </row>
    <row r="12" spans="1:18" ht="17.100000000000001" customHeight="1" x14ac:dyDescent="0.25">
      <c r="A12" s="60" t="s">
        <v>102</v>
      </c>
      <c r="B12" s="61" t="s">
        <v>291</v>
      </c>
      <c r="C12" s="61" t="s">
        <v>292</v>
      </c>
      <c r="D12" s="61" t="s">
        <v>293</v>
      </c>
      <c r="E12" s="61" t="s">
        <v>294</v>
      </c>
      <c r="F12" s="62" t="s">
        <v>295</v>
      </c>
      <c r="G12" s="61" t="s">
        <v>296</v>
      </c>
      <c r="H12" s="61" t="s">
        <v>297</v>
      </c>
      <c r="I12" s="61" t="s">
        <v>298</v>
      </c>
      <c r="J12" s="61" t="s">
        <v>299</v>
      </c>
      <c r="K12" s="61" t="s">
        <v>300</v>
      </c>
      <c r="L12" s="63">
        <v>70</v>
      </c>
      <c r="M12" s="63" t="s">
        <v>209</v>
      </c>
      <c r="N12" s="60"/>
      <c r="O12" s="64"/>
      <c r="P12" s="64"/>
      <c r="Q12" s="64"/>
      <c r="R12" s="64"/>
    </row>
    <row r="13" spans="1:18" ht="17.100000000000001" customHeight="1" x14ac:dyDescent="0.25">
      <c r="A13" s="60" t="s">
        <v>104</v>
      </c>
      <c r="B13" s="61" t="s">
        <v>301</v>
      </c>
      <c r="C13" s="61" t="s">
        <v>302</v>
      </c>
      <c r="D13" s="61" t="s">
        <v>303</v>
      </c>
      <c r="E13" s="61" t="s">
        <v>250</v>
      </c>
      <c r="F13" s="62" t="s">
        <v>304</v>
      </c>
      <c r="G13" s="61" t="s">
        <v>305</v>
      </c>
      <c r="H13" s="61" t="s">
        <v>306</v>
      </c>
      <c r="I13" s="61" t="s">
        <v>307</v>
      </c>
      <c r="J13" s="61" t="s">
        <v>308</v>
      </c>
      <c r="K13" s="61" t="s">
        <v>309</v>
      </c>
      <c r="L13" s="63">
        <v>60</v>
      </c>
      <c r="M13" s="63" t="s">
        <v>209</v>
      </c>
      <c r="N13" s="60"/>
      <c r="O13" s="64"/>
      <c r="P13" s="64"/>
      <c r="Q13" s="64"/>
      <c r="R13" s="64"/>
    </row>
    <row r="14" spans="1:18" ht="17.100000000000001" customHeight="1" x14ac:dyDescent="0.25">
      <c r="A14" s="60" t="s">
        <v>106</v>
      </c>
      <c r="B14" s="61" t="s">
        <v>310</v>
      </c>
      <c r="C14" s="61" t="s">
        <v>311</v>
      </c>
      <c r="D14" s="61" t="s">
        <v>312</v>
      </c>
      <c r="E14" s="61" t="s">
        <v>307</v>
      </c>
      <c r="F14" s="62" t="s">
        <v>313</v>
      </c>
      <c r="G14" s="61" t="s">
        <v>314</v>
      </c>
      <c r="H14" s="61" t="s">
        <v>315</v>
      </c>
      <c r="I14" s="61" t="s">
        <v>294</v>
      </c>
      <c r="J14" s="61" t="s">
        <v>316</v>
      </c>
      <c r="K14" s="61" t="s">
        <v>317</v>
      </c>
      <c r="L14" s="63">
        <v>60</v>
      </c>
      <c r="M14" s="63" t="s">
        <v>209</v>
      </c>
      <c r="N14" s="60"/>
      <c r="O14" s="64"/>
      <c r="P14" s="64"/>
      <c r="Q14" s="64"/>
      <c r="R14" s="64"/>
    </row>
    <row r="15" spans="1:18" ht="17.100000000000001" customHeight="1" x14ac:dyDescent="0.25">
      <c r="A15" s="60" t="s">
        <v>108</v>
      </c>
      <c r="B15" s="61" t="s">
        <v>318</v>
      </c>
      <c r="C15" s="61" t="s">
        <v>319</v>
      </c>
      <c r="D15" s="61" t="s">
        <v>320</v>
      </c>
      <c r="E15" s="61" t="s">
        <v>321</v>
      </c>
      <c r="F15" s="62" t="s">
        <v>322</v>
      </c>
      <c r="G15" s="61" t="s">
        <v>323</v>
      </c>
      <c r="H15" s="64"/>
      <c r="I15" s="64"/>
      <c r="J15" s="64"/>
      <c r="K15" s="64"/>
      <c r="L15" s="60">
        <v>60</v>
      </c>
      <c r="M15" s="60" t="s">
        <v>209</v>
      </c>
      <c r="N15" s="60"/>
      <c r="O15" s="64"/>
      <c r="P15" s="64"/>
      <c r="Q15" s="64"/>
      <c r="R15" s="64"/>
    </row>
    <row r="16" spans="1:18" ht="17.100000000000001" customHeight="1" x14ac:dyDescent="0.25">
      <c r="A16" s="60" t="s">
        <v>110</v>
      </c>
      <c r="B16" s="61" t="s">
        <v>324</v>
      </c>
      <c r="C16" s="61" t="s">
        <v>325</v>
      </c>
      <c r="D16" s="61" t="s">
        <v>326</v>
      </c>
      <c r="E16" s="61" t="s">
        <v>327</v>
      </c>
      <c r="F16" s="62" t="s">
        <v>328</v>
      </c>
      <c r="G16" s="61" t="s">
        <v>329</v>
      </c>
      <c r="H16" s="61" t="s">
        <v>330</v>
      </c>
      <c r="I16" s="61" t="s">
        <v>331</v>
      </c>
      <c r="J16" s="61" t="s">
        <v>332</v>
      </c>
      <c r="K16" s="61" t="s">
        <v>333</v>
      </c>
      <c r="L16" s="63">
        <v>80</v>
      </c>
      <c r="M16" s="63" t="s">
        <v>209</v>
      </c>
      <c r="N16" s="60"/>
      <c r="O16" s="64"/>
      <c r="P16" s="64"/>
      <c r="Q16" s="64"/>
      <c r="R16" s="64"/>
    </row>
    <row r="17" spans="1:18" s="53" customFormat="1" ht="17.100000000000001" customHeight="1" x14ac:dyDescent="0.25">
      <c r="A17" s="60" t="s">
        <v>112</v>
      </c>
      <c r="B17" s="61" t="s">
        <v>334</v>
      </c>
      <c r="C17" s="61" t="s">
        <v>335</v>
      </c>
      <c r="D17" s="61" t="s">
        <v>336</v>
      </c>
      <c r="E17" s="61" t="s">
        <v>294</v>
      </c>
      <c r="F17" s="62" t="s">
        <v>337</v>
      </c>
      <c r="G17" s="61" t="s">
        <v>338</v>
      </c>
      <c r="H17" s="61" t="s">
        <v>339</v>
      </c>
      <c r="I17" s="61" t="s">
        <v>340</v>
      </c>
      <c r="J17" s="61" t="s">
        <v>341</v>
      </c>
      <c r="K17" s="61" t="s">
        <v>342</v>
      </c>
      <c r="L17" s="63">
        <v>70</v>
      </c>
      <c r="M17" s="63" t="s">
        <v>209</v>
      </c>
      <c r="N17" s="60"/>
      <c r="O17" s="64"/>
      <c r="P17" s="64"/>
      <c r="Q17" s="64"/>
      <c r="R17" s="64"/>
    </row>
    <row r="18" spans="1:18" s="53" customFormat="1" ht="17.100000000000001" customHeight="1" x14ac:dyDescent="0.25">
      <c r="A18" s="60" t="s">
        <v>114</v>
      </c>
      <c r="B18" s="61" t="s">
        <v>343</v>
      </c>
      <c r="C18" s="61" t="s">
        <v>344</v>
      </c>
      <c r="D18" s="61" t="s">
        <v>345</v>
      </c>
      <c r="E18" s="61" t="s">
        <v>346</v>
      </c>
      <c r="F18" s="62" t="s">
        <v>347</v>
      </c>
      <c r="G18" s="61" t="s">
        <v>348</v>
      </c>
      <c r="H18" s="61" t="s">
        <v>349</v>
      </c>
      <c r="I18" s="61" t="s">
        <v>285</v>
      </c>
      <c r="J18" s="61" t="s">
        <v>350</v>
      </c>
      <c r="K18" s="61" t="s">
        <v>351</v>
      </c>
      <c r="L18" s="63">
        <v>90</v>
      </c>
      <c r="M18" s="63" t="s">
        <v>209</v>
      </c>
      <c r="N18" s="60"/>
      <c r="O18" s="64"/>
      <c r="P18" s="64"/>
      <c r="Q18" s="64"/>
      <c r="R18" s="64"/>
    </row>
    <row r="19" spans="1:18" s="53" customFormat="1" ht="17.100000000000001" customHeight="1" x14ac:dyDescent="0.25">
      <c r="A19" s="60" t="s">
        <v>116</v>
      </c>
      <c r="B19" s="61" t="s">
        <v>352</v>
      </c>
      <c r="C19" s="61" t="s">
        <v>353</v>
      </c>
      <c r="D19" s="61" t="s">
        <v>354</v>
      </c>
      <c r="E19" s="61" t="s">
        <v>279</v>
      </c>
      <c r="F19" s="62" t="s">
        <v>355</v>
      </c>
      <c r="G19" s="61" t="s">
        <v>356</v>
      </c>
      <c r="H19" s="61" t="s">
        <v>357</v>
      </c>
      <c r="I19" s="61" t="s">
        <v>358</v>
      </c>
      <c r="J19" s="61" t="s">
        <v>359</v>
      </c>
      <c r="K19" s="61" t="s">
        <v>360</v>
      </c>
      <c r="L19" s="63">
        <v>80</v>
      </c>
      <c r="M19" s="63" t="s">
        <v>209</v>
      </c>
      <c r="N19" s="60"/>
      <c r="O19" s="64"/>
      <c r="P19" s="64"/>
      <c r="Q19" s="64"/>
      <c r="R19" s="64"/>
    </row>
    <row r="20" spans="1:18" s="53" customFormat="1" ht="17.100000000000001" customHeight="1" x14ac:dyDescent="0.25">
      <c r="A20" s="60" t="s">
        <v>118</v>
      </c>
      <c r="B20" s="61" t="s">
        <v>361</v>
      </c>
      <c r="C20" s="61" t="s">
        <v>362</v>
      </c>
      <c r="D20" s="61" t="s">
        <v>363</v>
      </c>
      <c r="E20" s="61" t="s">
        <v>202</v>
      </c>
      <c r="F20" s="62" t="s">
        <v>364</v>
      </c>
      <c r="G20" s="61" t="s">
        <v>365</v>
      </c>
      <c r="H20" s="61" t="s">
        <v>366</v>
      </c>
      <c r="I20" s="61" t="s">
        <v>307</v>
      </c>
      <c r="J20" s="61" t="s">
        <v>367</v>
      </c>
      <c r="K20" s="61" t="s">
        <v>368</v>
      </c>
      <c r="L20" s="63">
        <v>60</v>
      </c>
      <c r="M20" s="63" t="s">
        <v>209</v>
      </c>
      <c r="N20" s="60"/>
      <c r="O20" s="64"/>
      <c r="P20" s="64"/>
      <c r="Q20" s="64"/>
      <c r="R20" s="64"/>
    </row>
    <row r="21" spans="1:18" s="53" customFormat="1" ht="17.100000000000001" customHeight="1" x14ac:dyDescent="0.25">
      <c r="A21" s="60" t="s">
        <v>120</v>
      </c>
      <c r="B21" s="61" t="s">
        <v>369</v>
      </c>
      <c r="C21" s="61" t="s">
        <v>370</v>
      </c>
      <c r="D21" s="61" t="s">
        <v>371</v>
      </c>
      <c r="E21" s="61" t="s">
        <v>231</v>
      </c>
      <c r="F21" s="62" t="s">
        <v>372</v>
      </c>
      <c r="G21" s="61" t="s">
        <v>373</v>
      </c>
      <c r="H21" s="61" t="s">
        <v>374</v>
      </c>
      <c r="I21" s="61" t="s">
        <v>246</v>
      </c>
      <c r="J21" s="61" t="s">
        <v>375</v>
      </c>
      <c r="K21" s="61" t="s">
        <v>376</v>
      </c>
      <c r="L21" s="63">
        <v>70</v>
      </c>
      <c r="M21" s="63" t="s">
        <v>209</v>
      </c>
      <c r="N21" s="60"/>
      <c r="O21" s="64"/>
      <c r="P21" s="64"/>
      <c r="Q21" s="64"/>
      <c r="R21" s="64"/>
    </row>
    <row r="22" spans="1:18" s="53" customFormat="1" ht="17.100000000000001" customHeight="1" x14ac:dyDescent="0.25">
      <c r="A22" s="60" t="s">
        <v>122</v>
      </c>
      <c r="B22" s="61" t="s">
        <v>377</v>
      </c>
      <c r="C22" s="61" t="s">
        <v>378</v>
      </c>
      <c r="D22" s="61" t="s">
        <v>379</v>
      </c>
      <c r="E22" s="61" t="s">
        <v>380</v>
      </c>
      <c r="F22" s="62" t="s">
        <v>381</v>
      </c>
      <c r="G22" s="61" t="s">
        <v>382</v>
      </c>
      <c r="H22" s="61" t="s">
        <v>383</v>
      </c>
      <c r="I22" s="61" t="s">
        <v>384</v>
      </c>
      <c r="J22" s="61" t="s">
        <v>385</v>
      </c>
      <c r="K22" s="61" t="s">
        <v>386</v>
      </c>
      <c r="L22" s="63">
        <v>80</v>
      </c>
      <c r="M22" s="63" t="s">
        <v>209</v>
      </c>
      <c r="N22" s="60"/>
      <c r="O22" s="64"/>
      <c r="P22" s="64"/>
      <c r="Q22" s="64"/>
      <c r="R22" s="64"/>
    </row>
    <row r="23" spans="1:18" s="53" customFormat="1" ht="17.100000000000001" customHeight="1" x14ac:dyDescent="0.25">
      <c r="A23" s="60" t="s">
        <v>124</v>
      </c>
      <c r="B23" s="61" t="s">
        <v>387</v>
      </c>
      <c r="C23" s="61" t="s">
        <v>388</v>
      </c>
      <c r="D23" s="61" t="s">
        <v>389</v>
      </c>
      <c r="E23" s="61" t="s">
        <v>206</v>
      </c>
      <c r="F23" s="62" t="s">
        <v>390</v>
      </c>
      <c r="G23" s="61" t="s">
        <v>391</v>
      </c>
      <c r="H23" s="61" t="s">
        <v>392</v>
      </c>
      <c r="I23" s="61" t="s">
        <v>250</v>
      </c>
      <c r="J23" s="61" t="s">
        <v>393</v>
      </c>
      <c r="K23" s="61" t="s">
        <v>394</v>
      </c>
      <c r="L23" s="63">
        <v>70</v>
      </c>
      <c r="M23" s="63" t="s">
        <v>209</v>
      </c>
      <c r="N23" s="60"/>
      <c r="O23" s="64"/>
      <c r="P23" s="64"/>
      <c r="Q23" s="64"/>
      <c r="R23" s="64"/>
    </row>
    <row r="24" spans="1:18" s="53" customFormat="1" ht="17.100000000000001" customHeight="1" x14ac:dyDescent="0.25">
      <c r="A24" s="60" t="s">
        <v>126</v>
      </c>
      <c r="B24" s="61" t="s">
        <v>395</v>
      </c>
      <c r="C24" s="61" t="s">
        <v>396</v>
      </c>
      <c r="D24" s="61" t="s">
        <v>397</v>
      </c>
      <c r="E24" s="61" t="s">
        <v>398</v>
      </c>
      <c r="F24" s="62" t="s">
        <v>399</v>
      </c>
      <c r="G24" s="61" t="s">
        <v>400</v>
      </c>
      <c r="H24" s="61" t="s">
        <v>401</v>
      </c>
      <c r="I24" s="61" t="s">
        <v>402</v>
      </c>
      <c r="J24" s="61" t="s">
        <v>403</v>
      </c>
      <c r="K24" s="61" t="s">
        <v>404</v>
      </c>
      <c r="L24" s="63">
        <v>70</v>
      </c>
      <c r="M24" s="63" t="s">
        <v>209</v>
      </c>
      <c r="N24" s="60"/>
      <c r="O24" s="64"/>
      <c r="P24" s="64"/>
      <c r="Q24" s="64"/>
      <c r="R24" s="64"/>
    </row>
    <row r="25" spans="1:18" s="53" customFormat="1" ht="17.100000000000001" customHeight="1" x14ac:dyDescent="0.25">
      <c r="A25" s="60" t="s">
        <v>128</v>
      </c>
      <c r="B25" s="61" t="s">
        <v>405</v>
      </c>
      <c r="C25" s="61" t="s">
        <v>406</v>
      </c>
      <c r="D25" s="61" t="s">
        <v>407</v>
      </c>
      <c r="E25" s="61" t="s">
        <v>219</v>
      </c>
      <c r="F25" s="62" t="s">
        <v>408</v>
      </c>
      <c r="G25" s="61" t="s">
        <v>409</v>
      </c>
      <c r="H25" s="61" t="s">
        <v>410</v>
      </c>
      <c r="I25" s="61" t="s">
        <v>250</v>
      </c>
      <c r="J25" s="61" t="s">
        <v>411</v>
      </c>
      <c r="K25" s="61" t="s">
        <v>412</v>
      </c>
      <c r="L25" s="63">
        <v>60</v>
      </c>
      <c r="M25" s="63" t="s">
        <v>209</v>
      </c>
      <c r="N25" s="60"/>
      <c r="O25" s="64"/>
      <c r="P25" s="64"/>
      <c r="Q25" s="64"/>
      <c r="R25" s="64"/>
    </row>
    <row r="26" spans="1:18" s="53" customFormat="1" ht="17.100000000000001" customHeight="1" x14ac:dyDescent="0.25">
      <c r="A26" s="60" t="s">
        <v>130</v>
      </c>
      <c r="B26" s="61" t="s">
        <v>413</v>
      </c>
      <c r="C26" s="61" t="s">
        <v>414</v>
      </c>
      <c r="D26" s="61" t="s">
        <v>415</v>
      </c>
      <c r="E26" s="61" t="s">
        <v>285</v>
      </c>
      <c r="F26" s="62" t="s">
        <v>416</v>
      </c>
      <c r="G26" s="61" t="s">
        <v>417</v>
      </c>
      <c r="H26" s="61" t="s">
        <v>418</v>
      </c>
      <c r="I26" s="61" t="s">
        <v>219</v>
      </c>
      <c r="J26" s="61" t="s">
        <v>419</v>
      </c>
      <c r="K26" s="61" t="s">
        <v>420</v>
      </c>
      <c r="L26" s="63">
        <v>60</v>
      </c>
      <c r="M26" s="63" t="s">
        <v>209</v>
      </c>
      <c r="N26" s="60"/>
      <c r="O26" s="64"/>
      <c r="P26" s="64"/>
      <c r="Q26" s="64"/>
      <c r="R26" s="64"/>
    </row>
    <row r="27" spans="1:18" s="53" customFormat="1" ht="17.100000000000001" customHeight="1" x14ac:dyDescent="0.25">
      <c r="A27" s="60" t="s">
        <v>132</v>
      </c>
      <c r="B27" s="61" t="s">
        <v>421</v>
      </c>
      <c r="C27" s="61" t="s">
        <v>422</v>
      </c>
      <c r="D27" s="61" t="s">
        <v>423</v>
      </c>
      <c r="E27" s="61" t="s">
        <v>250</v>
      </c>
      <c r="F27" s="62" t="s">
        <v>424</v>
      </c>
      <c r="G27" s="61" t="s">
        <v>425</v>
      </c>
      <c r="H27" s="61" t="s">
        <v>426</v>
      </c>
      <c r="I27" s="61" t="s">
        <v>285</v>
      </c>
      <c r="J27" s="61" t="s">
        <v>427</v>
      </c>
      <c r="K27" s="61" t="s">
        <v>428</v>
      </c>
      <c r="L27" s="63">
        <v>100</v>
      </c>
      <c r="M27" s="63" t="s">
        <v>209</v>
      </c>
      <c r="N27" s="60"/>
      <c r="O27" s="64"/>
      <c r="P27" s="64"/>
      <c r="Q27" s="64"/>
      <c r="R27" s="64"/>
    </row>
    <row r="28" spans="1:18" s="53" customFormat="1" ht="17.100000000000001" customHeight="1" x14ac:dyDescent="0.25">
      <c r="A28" s="60" t="s">
        <v>134</v>
      </c>
      <c r="B28" s="61" t="s">
        <v>429</v>
      </c>
      <c r="C28" s="61" t="s">
        <v>430</v>
      </c>
      <c r="D28" s="61" t="s">
        <v>431</v>
      </c>
      <c r="E28" s="61" t="s">
        <v>202</v>
      </c>
      <c r="F28" s="62" t="s">
        <v>432</v>
      </c>
      <c r="G28" s="61" t="s">
        <v>433</v>
      </c>
      <c r="H28" s="61" t="s">
        <v>434</v>
      </c>
      <c r="I28" s="61" t="s">
        <v>435</v>
      </c>
      <c r="J28" s="61" t="s">
        <v>436</v>
      </c>
      <c r="K28" s="61" t="s">
        <v>437</v>
      </c>
      <c r="L28" s="63">
        <v>80</v>
      </c>
      <c r="M28" s="63" t="s">
        <v>209</v>
      </c>
      <c r="N28" s="60"/>
      <c r="O28" s="64"/>
      <c r="P28" s="64"/>
      <c r="Q28" s="64"/>
      <c r="R28" s="64"/>
    </row>
    <row r="29" spans="1:18" s="53" customFormat="1" ht="17.100000000000001" customHeight="1" x14ac:dyDescent="0.25">
      <c r="A29" s="60" t="s">
        <v>136</v>
      </c>
      <c r="B29" s="61" t="s">
        <v>438</v>
      </c>
      <c r="C29" s="61" t="s">
        <v>439</v>
      </c>
      <c r="D29" s="61" t="s">
        <v>440</v>
      </c>
      <c r="E29" s="61" t="s">
        <v>206</v>
      </c>
      <c r="F29" s="62" t="s">
        <v>441</v>
      </c>
      <c r="G29" s="61" t="s">
        <v>442</v>
      </c>
      <c r="H29" s="61" t="s">
        <v>443</v>
      </c>
      <c r="I29" s="61" t="s">
        <v>358</v>
      </c>
      <c r="J29" s="61" t="s">
        <v>444</v>
      </c>
      <c r="K29" s="61" t="s">
        <v>445</v>
      </c>
      <c r="L29" s="63">
        <v>70</v>
      </c>
      <c r="M29" s="63" t="s">
        <v>209</v>
      </c>
      <c r="N29" s="60"/>
      <c r="O29" s="64"/>
      <c r="P29" s="64"/>
      <c r="Q29" s="64"/>
      <c r="R29" s="64"/>
    </row>
    <row r="30" spans="1:18" s="53" customFormat="1" ht="17.100000000000001" customHeight="1" x14ac:dyDescent="0.25">
      <c r="A30" s="60" t="s">
        <v>138</v>
      </c>
      <c r="B30" s="61" t="s">
        <v>446</v>
      </c>
      <c r="C30" s="61" t="s">
        <v>447</v>
      </c>
      <c r="D30" s="61" t="s">
        <v>448</v>
      </c>
      <c r="E30" s="61" t="s">
        <v>294</v>
      </c>
      <c r="F30" s="62" t="s">
        <v>449</v>
      </c>
      <c r="G30" s="61" t="s">
        <v>450</v>
      </c>
      <c r="H30" s="61" t="s">
        <v>451</v>
      </c>
      <c r="I30" s="61" t="s">
        <v>435</v>
      </c>
      <c r="J30" s="61" t="s">
        <v>452</v>
      </c>
      <c r="K30" s="61" t="s">
        <v>453</v>
      </c>
      <c r="L30" s="63">
        <v>80</v>
      </c>
      <c r="M30" s="63" t="s">
        <v>209</v>
      </c>
      <c r="N30" s="60"/>
      <c r="O30" s="64"/>
      <c r="P30" s="64"/>
      <c r="Q30" s="64"/>
      <c r="R30" s="64"/>
    </row>
    <row r="31" spans="1:18" s="53" customFormat="1" ht="17.100000000000001" customHeight="1" x14ac:dyDescent="0.25">
      <c r="A31" s="60" t="s">
        <v>140</v>
      </c>
      <c r="B31" s="61" t="s">
        <v>454</v>
      </c>
      <c r="C31" s="61" t="s">
        <v>455</v>
      </c>
      <c r="D31" s="61" t="s">
        <v>456</v>
      </c>
      <c r="E31" s="61" t="s">
        <v>260</v>
      </c>
      <c r="F31" s="62" t="s">
        <v>457</v>
      </c>
      <c r="G31" s="61" t="s">
        <v>458</v>
      </c>
      <c r="H31" s="61" t="s">
        <v>459</v>
      </c>
      <c r="I31" s="61" t="s">
        <v>340</v>
      </c>
      <c r="J31" s="61" t="s">
        <v>460</v>
      </c>
      <c r="K31" s="61" t="s">
        <v>461</v>
      </c>
      <c r="L31" s="63">
        <v>100</v>
      </c>
      <c r="M31" s="63" t="s">
        <v>209</v>
      </c>
      <c r="N31" s="60"/>
      <c r="O31" s="64"/>
      <c r="P31" s="64"/>
      <c r="Q31" s="64"/>
      <c r="R31" s="64"/>
    </row>
    <row r="32" spans="1:18" s="53" customFormat="1" ht="17.100000000000001" customHeight="1" x14ac:dyDescent="0.25">
      <c r="A32" s="60" t="s">
        <v>142</v>
      </c>
      <c r="B32" s="61" t="s">
        <v>462</v>
      </c>
      <c r="C32" s="61" t="s">
        <v>463</v>
      </c>
      <c r="D32" s="61" t="s">
        <v>464</v>
      </c>
      <c r="E32" s="61" t="s">
        <v>206</v>
      </c>
      <c r="F32" s="62" t="s">
        <v>465</v>
      </c>
      <c r="G32" s="61" t="s">
        <v>466</v>
      </c>
      <c r="H32" s="61" t="s">
        <v>467</v>
      </c>
      <c r="I32" s="61" t="s">
        <v>285</v>
      </c>
      <c r="J32" s="61" t="s">
        <v>468</v>
      </c>
      <c r="K32" s="61" t="s">
        <v>469</v>
      </c>
      <c r="L32" s="63">
        <v>60</v>
      </c>
      <c r="M32" s="63" t="s">
        <v>209</v>
      </c>
      <c r="N32" s="60"/>
      <c r="O32" s="64"/>
      <c r="P32" s="64"/>
      <c r="Q32" s="64"/>
      <c r="R32" s="64"/>
    </row>
    <row r="33" spans="1:23" s="53" customFormat="1" ht="17.100000000000001" customHeight="1" x14ac:dyDescent="0.25">
      <c r="A33" s="60" t="s">
        <v>144</v>
      </c>
      <c r="B33" s="61" t="s">
        <v>470</v>
      </c>
      <c r="C33" s="61" t="s">
        <v>471</v>
      </c>
      <c r="D33" s="61" t="s">
        <v>472</v>
      </c>
      <c r="E33" s="61" t="s">
        <v>231</v>
      </c>
      <c r="F33" s="62" t="s">
        <v>473</v>
      </c>
      <c r="G33" s="61" t="s">
        <v>474</v>
      </c>
      <c r="H33" s="61" t="s">
        <v>475</v>
      </c>
      <c r="I33" s="61" t="s">
        <v>202</v>
      </c>
      <c r="J33" s="61" t="s">
        <v>476</v>
      </c>
      <c r="K33" s="61" t="s">
        <v>477</v>
      </c>
      <c r="L33" s="63">
        <v>70</v>
      </c>
      <c r="M33" s="63" t="s">
        <v>209</v>
      </c>
      <c r="N33" s="60"/>
      <c r="O33" s="64"/>
      <c r="P33" s="64"/>
      <c r="Q33" s="64"/>
      <c r="R33" s="64"/>
    </row>
    <row r="34" spans="1:23" s="53" customFormat="1" ht="17.100000000000001" customHeight="1" x14ac:dyDescent="0.25">
      <c r="A34" s="60" t="s">
        <v>146</v>
      </c>
      <c r="B34" s="61" t="s">
        <v>478</v>
      </c>
      <c r="C34" s="61" t="s">
        <v>479</v>
      </c>
      <c r="D34" s="61" t="s">
        <v>480</v>
      </c>
      <c r="E34" s="61" t="s">
        <v>294</v>
      </c>
      <c r="F34" s="62" t="s">
        <v>481</v>
      </c>
      <c r="G34" s="61" t="s">
        <v>482</v>
      </c>
      <c r="H34" s="61" t="s">
        <v>483</v>
      </c>
      <c r="I34" s="61" t="s">
        <v>346</v>
      </c>
      <c r="J34" s="61" t="s">
        <v>484</v>
      </c>
      <c r="K34" s="61" t="s">
        <v>485</v>
      </c>
      <c r="L34" s="63">
        <v>80</v>
      </c>
      <c r="M34" s="63" t="s">
        <v>209</v>
      </c>
      <c r="N34" s="60"/>
      <c r="O34" s="64"/>
      <c r="P34" s="64"/>
      <c r="Q34" s="64"/>
      <c r="R34" s="64"/>
    </row>
    <row r="35" spans="1:23" s="53" customFormat="1" ht="17.100000000000001" customHeight="1" x14ac:dyDescent="0.25">
      <c r="A35" s="60" t="s">
        <v>148</v>
      </c>
      <c r="B35" s="61" t="s">
        <v>486</v>
      </c>
      <c r="C35" s="61" t="s">
        <v>487</v>
      </c>
      <c r="D35" s="61" t="s">
        <v>488</v>
      </c>
      <c r="E35" s="61" t="s">
        <v>219</v>
      </c>
      <c r="F35" s="62" t="s">
        <v>489</v>
      </c>
      <c r="G35" s="61" t="s">
        <v>490</v>
      </c>
      <c r="H35" s="61" t="s">
        <v>491</v>
      </c>
      <c r="I35" s="61" t="s">
        <v>285</v>
      </c>
      <c r="J35" s="61" t="s">
        <v>492</v>
      </c>
      <c r="K35" s="61" t="s">
        <v>493</v>
      </c>
      <c r="L35" s="63">
        <v>60</v>
      </c>
      <c r="M35" s="63" t="s">
        <v>209</v>
      </c>
      <c r="N35" s="60"/>
      <c r="O35" s="64"/>
      <c r="P35" s="64"/>
      <c r="Q35" s="64"/>
      <c r="R35" s="64"/>
    </row>
    <row r="36" spans="1:23" s="53" customFormat="1" ht="17.100000000000001" customHeight="1" x14ac:dyDescent="0.25">
      <c r="A36" s="60" t="s">
        <v>150</v>
      </c>
      <c r="B36" s="61" t="s">
        <v>494</v>
      </c>
      <c r="C36" s="61" t="s">
        <v>495</v>
      </c>
      <c r="D36" s="61" t="s">
        <v>496</v>
      </c>
      <c r="E36" s="61" t="s">
        <v>206</v>
      </c>
      <c r="F36" s="62" t="s">
        <v>497</v>
      </c>
      <c r="G36" s="61" t="s">
        <v>498</v>
      </c>
      <c r="H36" s="61" t="s">
        <v>499</v>
      </c>
      <c r="I36" s="61" t="s">
        <v>285</v>
      </c>
      <c r="J36" s="61" t="s">
        <v>500</v>
      </c>
      <c r="K36" s="61" t="s">
        <v>501</v>
      </c>
      <c r="L36" s="63">
        <v>80</v>
      </c>
      <c r="M36" s="63" t="s">
        <v>209</v>
      </c>
      <c r="N36" s="60"/>
      <c r="O36" s="64"/>
      <c r="P36" s="64"/>
      <c r="Q36" s="64"/>
      <c r="R36" s="64"/>
    </row>
    <row r="37" spans="1:23" s="53" customFormat="1" ht="17.100000000000001" customHeight="1" x14ac:dyDescent="0.25">
      <c r="A37" s="60" t="s">
        <v>152</v>
      </c>
      <c r="B37" s="61" t="s">
        <v>502</v>
      </c>
      <c r="C37" s="61" t="s">
        <v>503</v>
      </c>
      <c r="D37" s="61" t="s">
        <v>504</v>
      </c>
      <c r="E37" s="61" t="s">
        <v>219</v>
      </c>
      <c r="F37" s="62" t="s">
        <v>505</v>
      </c>
      <c r="G37" s="61" t="s">
        <v>506</v>
      </c>
      <c r="H37" s="64"/>
      <c r="I37" s="64"/>
      <c r="J37" s="64"/>
      <c r="K37" s="64"/>
      <c r="L37" s="60">
        <v>70</v>
      </c>
      <c r="M37" s="60" t="s">
        <v>209</v>
      </c>
      <c r="N37" s="60"/>
      <c r="O37" s="64"/>
      <c r="P37" s="64"/>
      <c r="Q37" s="64"/>
      <c r="R37" s="64"/>
    </row>
    <row r="38" spans="1:23" s="53" customFormat="1" ht="17.100000000000001" customHeight="1" x14ac:dyDescent="0.25">
      <c r="A38" s="66" t="s">
        <v>154</v>
      </c>
      <c r="B38" s="67" t="s">
        <v>507</v>
      </c>
      <c r="C38" s="67" t="s">
        <v>508</v>
      </c>
      <c r="D38" s="67" t="s">
        <v>509</v>
      </c>
      <c r="E38" s="67" t="s">
        <v>307</v>
      </c>
      <c r="F38" s="68" t="s">
        <v>510</v>
      </c>
      <c r="G38" s="67" t="s">
        <v>511</v>
      </c>
      <c r="H38" s="67" t="s">
        <v>512</v>
      </c>
      <c r="I38" s="67" t="s">
        <v>294</v>
      </c>
      <c r="J38" s="67" t="s">
        <v>513</v>
      </c>
      <c r="K38" s="67" t="s">
        <v>514</v>
      </c>
      <c r="L38" s="69">
        <v>50</v>
      </c>
      <c r="M38" s="69" t="s">
        <v>515</v>
      </c>
      <c r="N38" s="66"/>
      <c r="O38" s="70"/>
      <c r="P38" s="70"/>
      <c r="Q38" s="70"/>
      <c r="R38" s="70"/>
    </row>
    <row r="39" spans="1:23" s="53" customFormat="1" ht="17.100000000000001" customHeight="1" x14ac:dyDescent="0.25">
      <c r="A39" s="66" t="s">
        <v>156</v>
      </c>
      <c r="B39" s="67" t="s">
        <v>516</v>
      </c>
      <c r="C39" s="67" t="s">
        <v>517</v>
      </c>
      <c r="D39" s="67" t="s">
        <v>518</v>
      </c>
      <c r="E39" s="67" t="s">
        <v>519</v>
      </c>
      <c r="F39" s="68" t="s">
        <v>520</v>
      </c>
      <c r="G39" s="67" t="s">
        <v>521</v>
      </c>
      <c r="H39" s="67" t="s">
        <v>522</v>
      </c>
      <c r="I39" s="67" t="s">
        <v>519</v>
      </c>
      <c r="J39" s="67" t="s">
        <v>523</v>
      </c>
      <c r="K39" s="67" t="s">
        <v>524</v>
      </c>
      <c r="L39" s="69">
        <v>50</v>
      </c>
      <c r="M39" s="69" t="s">
        <v>515</v>
      </c>
      <c r="N39" s="66"/>
      <c r="O39" s="70"/>
      <c r="P39" s="70"/>
      <c r="Q39" s="70"/>
      <c r="R39" s="70"/>
    </row>
    <row r="40" spans="1:23" s="53" customFormat="1" ht="17.100000000000001" customHeight="1" x14ac:dyDescent="0.25">
      <c r="A40" s="66" t="s">
        <v>158</v>
      </c>
      <c r="B40" s="67" t="s">
        <v>525</v>
      </c>
      <c r="C40" s="67" t="s">
        <v>526</v>
      </c>
      <c r="D40" s="67" t="s">
        <v>527</v>
      </c>
      <c r="E40" s="67" t="s">
        <v>231</v>
      </c>
      <c r="F40" s="68" t="s">
        <v>528</v>
      </c>
      <c r="G40" s="67" t="s">
        <v>529</v>
      </c>
      <c r="H40" s="70"/>
      <c r="I40" s="70"/>
      <c r="J40" s="70"/>
      <c r="K40" s="70"/>
      <c r="L40" s="66">
        <v>50</v>
      </c>
      <c r="M40" s="66" t="s">
        <v>515</v>
      </c>
      <c r="N40" s="66"/>
      <c r="O40" s="70"/>
      <c r="P40" s="70"/>
      <c r="Q40" s="70"/>
      <c r="R40" s="70"/>
    </row>
    <row r="41" spans="1:23" s="53" customFormat="1" ht="17.100000000000001" customHeight="1" x14ac:dyDescent="0.25">
      <c r="A41" s="66" t="s">
        <v>160</v>
      </c>
      <c r="B41" s="67" t="s">
        <v>530</v>
      </c>
      <c r="C41" s="67" t="s">
        <v>531</v>
      </c>
      <c r="D41" s="67" t="s">
        <v>532</v>
      </c>
      <c r="E41" s="67" t="s">
        <v>219</v>
      </c>
      <c r="F41" s="68" t="s">
        <v>533</v>
      </c>
      <c r="G41" s="67" t="s">
        <v>534</v>
      </c>
      <c r="H41" s="67" t="s">
        <v>535</v>
      </c>
      <c r="I41" s="67" t="s">
        <v>536</v>
      </c>
      <c r="J41" s="67" t="s">
        <v>537</v>
      </c>
      <c r="K41" s="67" t="s">
        <v>538</v>
      </c>
      <c r="L41" s="69">
        <v>60</v>
      </c>
      <c r="M41" s="69" t="s">
        <v>515</v>
      </c>
      <c r="N41" s="66"/>
      <c r="O41" s="70"/>
      <c r="P41" s="70"/>
      <c r="Q41" s="70"/>
      <c r="R41" s="70"/>
      <c r="T41" s="67" t="s">
        <v>541</v>
      </c>
      <c r="U41" s="67" t="s">
        <v>519</v>
      </c>
      <c r="V41" s="68" t="s">
        <v>542</v>
      </c>
      <c r="W41" s="67" t="s">
        <v>543</v>
      </c>
    </row>
    <row r="42" spans="1:23" s="53" customFormat="1" ht="17.100000000000001" customHeight="1" x14ac:dyDescent="0.25">
      <c r="A42" s="66" t="s">
        <v>162</v>
      </c>
      <c r="B42" s="67" t="s">
        <v>539</v>
      </c>
      <c r="C42" s="67" t="s">
        <v>540</v>
      </c>
      <c r="D42" s="67" t="s">
        <v>544</v>
      </c>
      <c r="E42" s="67" t="s">
        <v>545</v>
      </c>
      <c r="F42" s="101" t="s">
        <v>627</v>
      </c>
      <c r="G42" s="67" t="s">
        <v>547</v>
      </c>
      <c r="H42" s="100" t="s">
        <v>544</v>
      </c>
      <c r="I42" s="100" t="s">
        <v>545</v>
      </c>
      <c r="J42" s="100" t="s">
        <v>546</v>
      </c>
      <c r="K42" s="100" t="s">
        <v>547</v>
      </c>
      <c r="L42" s="69">
        <v>60</v>
      </c>
      <c r="M42" s="69" t="s">
        <v>515</v>
      </c>
      <c r="N42" s="66"/>
      <c r="O42" s="70"/>
      <c r="P42" s="70"/>
      <c r="Q42" s="70"/>
      <c r="R42" s="70"/>
    </row>
    <row r="43" spans="1:23" s="53" customFormat="1" ht="17.100000000000001" customHeight="1" x14ac:dyDescent="0.25">
      <c r="A43" s="66" t="s">
        <v>164</v>
      </c>
      <c r="B43" s="67" t="s">
        <v>548</v>
      </c>
      <c r="C43" s="67" t="s">
        <v>549</v>
      </c>
      <c r="D43" s="67" t="s">
        <v>550</v>
      </c>
      <c r="E43" s="67" t="s">
        <v>285</v>
      </c>
      <c r="F43" s="68" t="s">
        <v>551</v>
      </c>
      <c r="G43" s="67" t="s">
        <v>552</v>
      </c>
      <c r="H43" s="67" t="s">
        <v>553</v>
      </c>
      <c r="I43" s="67" t="s">
        <v>285</v>
      </c>
      <c r="J43" s="67" t="s">
        <v>554</v>
      </c>
      <c r="K43" s="67" t="s">
        <v>555</v>
      </c>
      <c r="L43" s="69">
        <v>40</v>
      </c>
      <c r="M43" s="69" t="s">
        <v>515</v>
      </c>
      <c r="N43" s="66"/>
      <c r="O43" s="70"/>
      <c r="P43" s="70"/>
      <c r="Q43" s="70"/>
      <c r="R43" s="70"/>
    </row>
    <row r="44" spans="1:23" s="53" customFormat="1" ht="17.100000000000001" customHeight="1" x14ac:dyDescent="0.25">
      <c r="A44" s="66" t="s">
        <v>166</v>
      </c>
      <c r="B44" s="67" t="s">
        <v>556</v>
      </c>
      <c r="C44" s="67" t="s">
        <v>557</v>
      </c>
      <c r="D44" s="67" t="s">
        <v>558</v>
      </c>
      <c r="E44" s="67" t="s">
        <v>307</v>
      </c>
      <c r="F44" s="68" t="s">
        <v>559</v>
      </c>
      <c r="G44" s="67" t="s">
        <v>560</v>
      </c>
      <c r="H44" s="67" t="s">
        <v>561</v>
      </c>
      <c r="I44" s="67" t="s">
        <v>307</v>
      </c>
      <c r="J44" s="67" t="s">
        <v>562</v>
      </c>
      <c r="K44" s="67" t="s">
        <v>563</v>
      </c>
      <c r="L44" s="69">
        <v>50</v>
      </c>
      <c r="M44" s="69" t="s">
        <v>515</v>
      </c>
      <c r="N44" s="66"/>
      <c r="O44" s="70"/>
      <c r="P44" s="70"/>
      <c r="Q44" s="70"/>
      <c r="R44" s="70"/>
    </row>
    <row r="45" spans="1:23" s="53" customFormat="1" ht="17.100000000000001" customHeight="1" x14ac:dyDescent="0.25">
      <c r="A45" s="71" t="s">
        <v>168</v>
      </c>
      <c r="B45" s="72" t="s">
        <v>564</v>
      </c>
      <c r="C45" s="72" t="s">
        <v>565</v>
      </c>
      <c r="D45" s="72" t="s">
        <v>566</v>
      </c>
      <c r="E45" s="72" t="s">
        <v>202</v>
      </c>
      <c r="F45" s="73" t="s">
        <v>567</v>
      </c>
      <c r="G45" s="72" t="s">
        <v>568</v>
      </c>
      <c r="H45" s="72" t="s">
        <v>569</v>
      </c>
      <c r="I45" s="72" t="s">
        <v>307</v>
      </c>
      <c r="J45" s="72" t="s">
        <v>570</v>
      </c>
      <c r="K45" s="72" t="s">
        <v>571</v>
      </c>
      <c r="L45" s="74">
        <v>30</v>
      </c>
      <c r="M45" s="74" t="s">
        <v>572</v>
      </c>
      <c r="N45" s="71"/>
      <c r="O45" s="75"/>
      <c r="P45" s="75"/>
      <c r="Q45" s="75"/>
      <c r="R45" s="75"/>
    </row>
    <row r="46" spans="1:23" s="53" customFormat="1" ht="17.100000000000001" customHeight="1" x14ac:dyDescent="0.25">
      <c r="A46" s="71" t="s">
        <v>170</v>
      </c>
      <c r="B46" s="72" t="s">
        <v>573</v>
      </c>
      <c r="C46" s="72" t="s">
        <v>574</v>
      </c>
      <c r="D46" s="72" t="s">
        <v>575</v>
      </c>
      <c r="E46" s="72" t="s">
        <v>576</v>
      </c>
      <c r="F46" s="73" t="s">
        <v>577</v>
      </c>
      <c r="G46" s="72" t="s">
        <v>578</v>
      </c>
      <c r="H46" s="72" t="s">
        <v>579</v>
      </c>
      <c r="I46" s="72" t="s">
        <v>519</v>
      </c>
      <c r="J46" s="72" t="s">
        <v>580</v>
      </c>
      <c r="K46" s="72" t="s">
        <v>581</v>
      </c>
      <c r="L46" s="74">
        <v>30</v>
      </c>
      <c r="M46" s="74" t="s">
        <v>582</v>
      </c>
      <c r="N46" s="71"/>
      <c r="O46" s="75"/>
      <c r="P46" s="75"/>
      <c r="Q46" s="75"/>
      <c r="R46" s="75"/>
    </row>
    <row r="47" spans="1:23" s="53" customFormat="1" ht="17.100000000000001" customHeight="1" x14ac:dyDescent="0.25">
      <c r="A47" s="71" t="s">
        <v>172</v>
      </c>
      <c r="B47" s="72" t="s">
        <v>583</v>
      </c>
      <c r="C47" s="72" t="s">
        <v>584</v>
      </c>
      <c r="D47" s="72" t="s">
        <v>585</v>
      </c>
      <c r="E47" s="72" t="s">
        <v>219</v>
      </c>
      <c r="F47" s="73" t="s">
        <v>586</v>
      </c>
      <c r="G47" s="72" t="s">
        <v>587</v>
      </c>
      <c r="H47" s="72" t="s">
        <v>588</v>
      </c>
      <c r="I47" s="72" t="s">
        <v>231</v>
      </c>
      <c r="J47" s="72" t="s">
        <v>589</v>
      </c>
      <c r="K47" s="72" t="s">
        <v>590</v>
      </c>
      <c r="L47" s="74">
        <v>30</v>
      </c>
      <c r="M47" s="74" t="s">
        <v>582</v>
      </c>
      <c r="N47" s="71"/>
      <c r="O47" s="75"/>
      <c r="P47" s="75"/>
      <c r="Q47" s="75"/>
      <c r="R47" s="75"/>
    </row>
    <row r="48" spans="1:23" s="53" customFormat="1" ht="17.100000000000001" customHeight="1" x14ac:dyDescent="0.25">
      <c r="A48" s="71" t="s">
        <v>174</v>
      </c>
      <c r="B48" s="72" t="s">
        <v>591</v>
      </c>
      <c r="C48" s="72" t="s">
        <v>592</v>
      </c>
      <c r="D48" s="72" t="s">
        <v>593</v>
      </c>
      <c r="E48" s="72" t="s">
        <v>260</v>
      </c>
      <c r="F48" s="73" t="s">
        <v>594</v>
      </c>
      <c r="G48" s="72" t="s">
        <v>595</v>
      </c>
      <c r="H48" s="75"/>
      <c r="I48" s="75"/>
      <c r="J48" s="75"/>
      <c r="K48" s="75"/>
      <c r="L48" s="71">
        <v>40</v>
      </c>
      <c r="M48" s="71" t="s">
        <v>582</v>
      </c>
      <c r="N48" s="71"/>
      <c r="O48" s="75"/>
      <c r="P48" s="75"/>
      <c r="Q48" s="75"/>
      <c r="R48" s="75"/>
    </row>
    <row r="49" spans="1:18" s="53" customFormat="1" ht="17.100000000000001" customHeight="1" x14ac:dyDescent="0.25">
      <c r="A49" s="71" t="s">
        <v>176</v>
      </c>
      <c r="B49" s="72" t="s">
        <v>596</v>
      </c>
      <c r="C49" s="72" t="s">
        <v>597</v>
      </c>
      <c r="D49" s="72" t="s">
        <v>598</v>
      </c>
      <c r="E49" s="72" t="s">
        <v>250</v>
      </c>
      <c r="F49" s="73" t="s">
        <v>599</v>
      </c>
      <c r="G49" s="72" t="s">
        <v>600</v>
      </c>
      <c r="H49" s="72" t="s">
        <v>601</v>
      </c>
      <c r="I49" s="72" t="s">
        <v>246</v>
      </c>
      <c r="J49" s="72" t="s">
        <v>602</v>
      </c>
      <c r="K49" s="72" t="s">
        <v>603</v>
      </c>
      <c r="L49" s="74">
        <v>30</v>
      </c>
      <c r="M49" s="74" t="s">
        <v>582</v>
      </c>
      <c r="N49" s="71"/>
      <c r="O49" s="75"/>
      <c r="P49" s="75"/>
      <c r="Q49" s="75"/>
      <c r="R49" s="75"/>
    </row>
    <row r="50" spans="1:18" s="53" customFormat="1" ht="17.100000000000001" customHeight="1" x14ac:dyDescent="0.25">
      <c r="A50" s="71" t="s">
        <v>178</v>
      </c>
      <c r="B50" s="72" t="s">
        <v>604</v>
      </c>
      <c r="C50" s="72" t="s">
        <v>605</v>
      </c>
      <c r="D50" s="72" t="s">
        <v>606</v>
      </c>
      <c r="E50" s="72" t="s">
        <v>206</v>
      </c>
      <c r="F50" s="73" t="s">
        <v>607</v>
      </c>
      <c r="G50" s="72" t="s">
        <v>608</v>
      </c>
      <c r="H50" s="72" t="s">
        <v>609</v>
      </c>
      <c r="I50" s="72" t="s">
        <v>285</v>
      </c>
      <c r="J50" s="72" t="s">
        <v>610</v>
      </c>
      <c r="K50" s="72" t="s">
        <v>611</v>
      </c>
      <c r="L50" s="74">
        <v>30</v>
      </c>
      <c r="M50" s="74" t="s">
        <v>582</v>
      </c>
      <c r="N50" s="71"/>
      <c r="O50" s="75"/>
      <c r="P50" s="75"/>
      <c r="Q50" s="75"/>
      <c r="R50" s="75"/>
    </row>
    <row r="51" spans="1:18" s="53" customFormat="1" ht="17.100000000000001" customHeight="1" x14ac:dyDescent="0.25">
      <c r="A51" s="71" t="s">
        <v>180</v>
      </c>
      <c r="B51" s="72" t="s">
        <v>612</v>
      </c>
      <c r="C51" s="72" t="s">
        <v>613</v>
      </c>
      <c r="D51" s="72" t="s">
        <v>614</v>
      </c>
      <c r="E51" s="72" t="s">
        <v>202</v>
      </c>
      <c r="F51" s="73" t="s">
        <v>615</v>
      </c>
      <c r="G51" s="72" t="s">
        <v>616</v>
      </c>
      <c r="H51" s="72" t="s">
        <v>617</v>
      </c>
      <c r="I51" s="72" t="s">
        <v>294</v>
      </c>
      <c r="J51" s="72" t="s">
        <v>618</v>
      </c>
      <c r="K51" s="72" t="s">
        <v>619</v>
      </c>
      <c r="L51" s="74">
        <v>50</v>
      </c>
      <c r="M51" s="74" t="s">
        <v>582</v>
      </c>
      <c r="N51" s="71"/>
      <c r="O51" s="75"/>
      <c r="P51" s="75"/>
      <c r="Q51" s="75"/>
      <c r="R51" s="75"/>
    </row>
  </sheetData>
  <phoneticPr fontId="5" type="noConversion"/>
  <conditionalFormatting sqref="B52:B149">
    <cfRule type="expression" dxfId="1" priority="1">
      <formula>COUNTIF(B52:$B$94,B52)&gt;1</formula>
    </cfRule>
  </conditionalFormatting>
  <conditionalFormatting sqref="C2:C51">
    <cfRule type="expression" dxfId="0" priority="2">
      <formula>COUNTIF(B1:$B$94,C2)&gt;1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50"/>
  <sheetViews>
    <sheetView showGridLines="0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D9" sqref="D9"/>
    </sheetView>
  </sheetViews>
  <sheetFormatPr defaultColWidth="8.7109375" defaultRowHeight="13.5" x14ac:dyDescent="0.25"/>
  <cols>
    <col min="1" max="1" width="11.5703125" style="16" bestFit="1" customWidth="1"/>
    <col min="2" max="2" width="13.28515625" style="16" bestFit="1" customWidth="1"/>
    <col min="3" max="3" width="17" style="16" bestFit="1" customWidth="1"/>
    <col min="4" max="7" width="18.28515625" style="16" customWidth="1"/>
    <col min="8" max="53" width="12.7109375" style="16" customWidth="1"/>
    <col min="54" max="54" width="16.28515625" style="16" bestFit="1" customWidth="1"/>
    <col min="55" max="16384" width="8.7109375" style="16"/>
  </cols>
  <sheetData>
    <row r="1" spans="1:54" ht="27.75" customHeight="1" x14ac:dyDescent="0.25">
      <c r="A1" s="78" t="s">
        <v>52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</row>
    <row r="2" spans="1:54" x14ac:dyDescent="0.25">
      <c r="A2" s="79" t="s">
        <v>53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</row>
    <row r="3" spans="1:54" x14ac:dyDescent="0.25">
      <c r="I3" s="46"/>
      <c r="J3" s="47" t="s">
        <v>182</v>
      </c>
      <c r="L3" s="99" t="s">
        <v>626</v>
      </c>
      <c r="BB3" s="16" t="s">
        <v>181</v>
      </c>
    </row>
    <row r="4" spans="1:54" x14ac:dyDescent="0.25">
      <c r="A4" s="19" t="s">
        <v>15</v>
      </c>
      <c r="B4" s="18" t="s">
        <v>54</v>
      </c>
      <c r="C4" s="31"/>
      <c r="D4" s="80" t="s">
        <v>55</v>
      </c>
      <c r="E4" s="80"/>
      <c r="F4" s="80"/>
      <c r="G4" s="80"/>
      <c r="I4" s="48" t="s">
        <v>80</v>
      </c>
      <c r="J4" s="49">
        <f>BB4</f>
        <v>10088468249.999998</v>
      </c>
      <c r="L4" s="98">
        <f>J4+J5+J6</f>
        <v>10895523759.9</v>
      </c>
      <c r="AZ4" s="39"/>
      <c r="BA4" s="40" t="s">
        <v>80</v>
      </c>
      <c r="BB4" s="41">
        <f>SUM(BB8,BB11,BB14,BB17,BB20,BB23,BB26,BB29,BB32,BB35,BB38,BB41,BB44)</f>
        <v>10088468249.999998</v>
      </c>
    </row>
    <row r="5" spans="1:54" x14ac:dyDescent="0.25">
      <c r="A5" s="19" t="s">
        <v>56</v>
      </c>
      <c r="B5" s="3">
        <f>IF(B4="1차 사업",3300000000,IF(B4="2차 사업",3200000000,""))</f>
        <v>3300000000</v>
      </c>
      <c r="C5" s="3"/>
      <c r="D5" s="19" t="s">
        <v>57</v>
      </c>
      <c r="E5" s="4">
        <f>IF(B4="1차 사업",3500000000,IF(B4="2차 사업",3300000000,""))</f>
        <v>3500000000</v>
      </c>
      <c r="F5" s="19" t="s">
        <v>58</v>
      </c>
      <c r="G5" s="5">
        <f>IF(B4="1차 사업",6600000000,IF(B4="2차 사업",6400000000,""))</f>
        <v>6600000000</v>
      </c>
      <c r="I5" s="50" t="s">
        <v>38</v>
      </c>
      <c r="J5" s="49">
        <f t="shared" ref="J5:J6" si="0">BB5</f>
        <v>323991542.69999999</v>
      </c>
      <c r="AZ5" s="42"/>
      <c r="BA5" s="43" t="s">
        <v>38</v>
      </c>
      <c r="BB5" s="41">
        <f t="shared" ref="BB5:BB6" si="1">SUM(BB9,BB12,BB15,BB18,BB21,BB24,BB27,BB30,BB33,BB36,BB39,BB42,BB45)</f>
        <v>323991542.69999999</v>
      </c>
    </row>
    <row r="6" spans="1:54" x14ac:dyDescent="0.25">
      <c r="I6" s="51" t="s">
        <v>81</v>
      </c>
      <c r="J6" s="49">
        <f t="shared" si="0"/>
        <v>483063967.19999999</v>
      </c>
      <c r="AZ6" s="44"/>
      <c r="BA6" s="45" t="s">
        <v>81</v>
      </c>
      <c r="BB6" s="41">
        <f t="shared" si="1"/>
        <v>483063967.19999999</v>
      </c>
    </row>
    <row r="7" spans="1:54" ht="19.5" customHeight="1" x14ac:dyDescent="0.25">
      <c r="A7" s="6" t="s">
        <v>16</v>
      </c>
      <c r="B7" s="6" t="s">
        <v>17</v>
      </c>
      <c r="C7" s="6"/>
      <c r="D7" s="19" t="str">
        <f>기업01!B4</f>
        <v>기업 01</v>
      </c>
      <c r="E7" s="19" t="str">
        <f>기업02!B4</f>
        <v>기업 02</v>
      </c>
      <c r="F7" s="19" t="str">
        <f>기업03!B4</f>
        <v>기업 03</v>
      </c>
      <c r="G7" s="19" t="str">
        <f>기업04!B4</f>
        <v>기업 04</v>
      </c>
      <c r="H7" s="19" t="str">
        <f>기업05!B4</f>
        <v>기업 05</v>
      </c>
      <c r="I7" s="37" t="str">
        <f>기업06!B4</f>
        <v>기업 06</v>
      </c>
      <c r="J7" s="37" t="str">
        <f>기업07!B4</f>
        <v>기업 07</v>
      </c>
      <c r="K7" s="19" t="str">
        <f>기업08!B4</f>
        <v>기업 08</v>
      </c>
      <c r="L7" s="19" t="str">
        <f>기업09!B4</f>
        <v>기업 09</v>
      </c>
      <c r="M7" s="19" t="str">
        <f>기업10!B4</f>
        <v>기업 10</v>
      </c>
      <c r="N7" s="19" t="str">
        <f>기업11!B4</f>
        <v>기업 11</v>
      </c>
      <c r="O7" s="19" t="str">
        <f>기업12!B4</f>
        <v>기업 12</v>
      </c>
      <c r="P7" s="19" t="str">
        <f>기업13!B4</f>
        <v>기업 13</v>
      </c>
      <c r="Q7" s="19" t="str">
        <f>기업14!B4</f>
        <v>기업 14</v>
      </c>
      <c r="R7" s="19" t="str">
        <f>기업15!B4</f>
        <v>기업 15</v>
      </c>
      <c r="S7" s="19" t="str">
        <f>기업16!B4</f>
        <v>기업 16</v>
      </c>
      <c r="T7" s="19" t="str">
        <f>기업17!B4</f>
        <v>기업 17</v>
      </c>
      <c r="U7" s="19" t="str">
        <f>기업18!B4</f>
        <v>기업 18</v>
      </c>
      <c r="V7" s="19" t="str">
        <f>기업19!B4</f>
        <v>기업 19</v>
      </c>
      <c r="W7" s="19" t="str">
        <f>기업20!B4</f>
        <v>기업 20</v>
      </c>
      <c r="X7" s="19" t="str">
        <f>기업21!B4</f>
        <v>기업 21</v>
      </c>
      <c r="Y7" s="19" t="str">
        <f>기업22!B4</f>
        <v>기업 22</v>
      </c>
      <c r="Z7" s="19" t="str">
        <f>기업23!B4</f>
        <v>기업 23</v>
      </c>
      <c r="AA7" s="19" t="str">
        <f>기업24!B4</f>
        <v>기업 24</v>
      </c>
      <c r="AB7" s="19" t="str">
        <f>기업25!B4</f>
        <v>기업 25</v>
      </c>
      <c r="AC7" s="19" t="str">
        <f>기업26!B4</f>
        <v>기업 26</v>
      </c>
      <c r="AD7" s="19" t="str">
        <f>기업27!B4</f>
        <v>기업 27</v>
      </c>
      <c r="AE7" s="19" t="str">
        <f>기업28!B4</f>
        <v>기업 28</v>
      </c>
      <c r="AF7" s="19" t="str">
        <f>기업29!B4</f>
        <v>기업 29</v>
      </c>
      <c r="AG7" s="19" t="str">
        <f>기업30!B4</f>
        <v>기업 30</v>
      </c>
      <c r="AH7" s="19" t="str">
        <f>기업31!B4</f>
        <v>기업 31</v>
      </c>
      <c r="AI7" s="19" t="str">
        <f>기업32!B4</f>
        <v>기업 32</v>
      </c>
      <c r="AJ7" s="19" t="str">
        <f>기업33!B4</f>
        <v>기업 33</v>
      </c>
      <c r="AK7" s="19" t="str">
        <f>기업34!B4</f>
        <v>기업 34</v>
      </c>
      <c r="AL7" s="19" t="str">
        <f>기업35!B4</f>
        <v>기업 35</v>
      </c>
      <c r="AM7" s="19" t="str">
        <f>기업36!B4</f>
        <v>기업 36</v>
      </c>
      <c r="AN7" s="19" t="str">
        <f>기업37!B4</f>
        <v>기업 37</v>
      </c>
      <c r="AO7" s="19" t="str">
        <f>기업38!B4</f>
        <v>기업 38</v>
      </c>
      <c r="AP7" s="19" t="str">
        <f>기업39!B4</f>
        <v>기업 39</v>
      </c>
      <c r="AQ7" s="19" t="str">
        <f>기업40!B4</f>
        <v>기업 40</v>
      </c>
      <c r="AR7" s="19" t="str">
        <f>기업41!B4</f>
        <v>기업 41</v>
      </c>
      <c r="AS7" s="19" t="str">
        <f>기업42!B4</f>
        <v>기업 42</v>
      </c>
      <c r="AT7" s="19" t="str">
        <f>기업43!B4</f>
        <v>기업 43</v>
      </c>
      <c r="AU7" s="19" t="str">
        <f>기업44!B4</f>
        <v>기업 44</v>
      </c>
      <c r="AV7" s="19" t="str">
        <f>기업45!B4</f>
        <v>기업 45</v>
      </c>
      <c r="AW7" s="19" t="str">
        <f>기업46!B4</f>
        <v>기업 46</v>
      </c>
      <c r="AX7" s="19" t="str">
        <f>기업47!B4</f>
        <v>기업 47</v>
      </c>
      <c r="AY7" s="19" t="str">
        <f>기업48!B4</f>
        <v>기업 48</v>
      </c>
      <c r="AZ7" s="37" t="str">
        <f>기업49!B4</f>
        <v>기업 49</v>
      </c>
      <c r="BA7" s="37" t="str">
        <f>기업50!B4</f>
        <v>기업 50</v>
      </c>
      <c r="BB7" s="38" t="s">
        <v>18</v>
      </c>
    </row>
    <row r="8" spans="1:54" ht="15.75" customHeight="1" x14ac:dyDescent="0.25">
      <c r="A8" s="81">
        <v>1</v>
      </c>
      <c r="B8" s="82" t="s">
        <v>19</v>
      </c>
      <c r="C8" s="26" t="s">
        <v>80</v>
      </c>
      <c r="D8" s="23">
        <f>기업01!L10</f>
        <v>208414040.79999998</v>
      </c>
      <c r="E8" s="23">
        <f>기업02!L10</f>
        <v>208414040.79999998</v>
      </c>
      <c r="F8" s="23">
        <f>기업03!L10</f>
        <v>208414040.79999998</v>
      </c>
      <c r="G8" s="23">
        <f>기업04!L10</f>
        <v>208414040.79999998</v>
      </c>
      <c r="H8" s="23">
        <f>기업05!L10</f>
        <v>208414040.79999998</v>
      </c>
      <c r="I8" s="23">
        <f>기업06!L10</f>
        <v>208414040.79999998</v>
      </c>
      <c r="J8" s="23">
        <f>기업07!L10</f>
        <v>208414040.79999998</v>
      </c>
      <c r="K8" s="23">
        <f>기업08!L10</f>
        <v>208414040.79999998</v>
      </c>
      <c r="L8" s="23">
        <f>기업09!L10</f>
        <v>208414040.79999998</v>
      </c>
      <c r="M8" s="23">
        <f>기업10!L10</f>
        <v>208414040.79999998</v>
      </c>
      <c r="N8" s="23">
        <f>기업11!L10</f>
        <v>208414040.79999998</v>
      </c>
      <c r="O8" s="23">
        <f>기업12!L10</f>
        <v>208414040.79999998</v>
      </c>
      <c r="P8" s="23">
        <f>기업13!L10</f>
        <v>0</v>
      </c>
      <c r="Q8" s="23">
        <f>기업14!L10</f>
        <v>0</v>
      </c>
      <c r="R8" s="23">
        <f>기업15!L10</f>
        <v>0</v>
      </c>
      <c r="S8" s="23">
        <f>기업16!L10</f>
        <v>0</v>
      </c>
      <c r="T8" s="23">
        <f>기업17!L10</f>
        <v>0</v>
      </c>
      <c r="U8" s="23">
        <f>기업18!L10</f>
        <v>0</v>
      </c>
      <c r="V8" s="23">
        <f>기업19!L10</f>
        <v>0</v>
      </c>
      <c r="W8" s="23">
        <f>기업20!L10</f>
        <v>0</v>
      </c>
      <c r="X8" s="23">
        <f>기업21!L10</f>
        <v>0</v>
      </c>
      <c r="Y8" s="23">
        <f>기업22!L10</f>
        <v>0</v>
      </c>
      <c r="Z8" s="23">
        <f>기업23!L10</f>
        <v>0</v>
      </c>
      <c r="AA8" s="23">
        <f>기업24!L10</f>
        <v>0</v>
      </c>
      <c r="AB8" s="23">
        <f>기업25!L10</f>
        <v>0</v>
      </c>
      <c r="AC8" s="23">
        <f>기업26!L10</f>
        <v>0</v>
      </c>
      <c r="AD8" s="23">
        <f>기업27!L10</f>
        <v>0</v>
      </c>
      <c r="AE8" s="23">
        <f>기업28!L10</f>
        <v>0</v>
      </c>
      <c r="AF8" s="23">
        <f>기업29!L10</f>
        <v>0</v>
      </c>
      <c r="AG8" s="23">
        <f>기업30!L10</f>
        <v>0</v>
      </c>
      <c r="AH8" s="23">
        <f>기업31!L10</f>
        <v>0</v>
      </c>
      <c r="AI8" s="23">
        <f>기업32!L10</f>
        <v>0</v>
      </c>
      <c r="AJ8" s="23">
        <f>기업33!L10</f>
        <v>0</v>
      </c>
      <c r="AK8" s="23">
        <f>기업34!L10</f>
        <v>0</v>
      </c>
      <c r="AL8" s="23">
        <f>기업35!L10</f>
        <v>0</v>
      </c>
      <c r="AM8" s="23">
        <f>기업36!L10</f>
        <v>0</v>
      </c>
      <c r="AN8" s="96">
        <f>기업37!L10</f>
        <v>0</v>
      </c>
      <c r="AO8" s="96">
        <f>기업38!L10</f>
        <v>0</v>
      </c>
      <c r="AP8" s="96">
        <f>기업39!L10</f>
        <v>0</v>
      </c>
      <c r="AQ8" s="96">
        <f>기업40!L10</f>
        <v>0</v>
      </c>
      <c r="AR8" s="96">
        <f>기업41!L10</f>
        <v>0</v>
      </c>
      <c r="AS8" s="96">
        <f>기업42!L10</f>
        <v>0</v>
      </c>
      <c r="AT8" s="96">
        <f>기업43!L10</f>
        <v>0</v>
      </c>
      <c r="AU8" s="96">
        <f>기업44!L10</f>
        <v>0</v>
      </c>
      <c r="AV8" s="96">
        <f>기업45!L10</f>
        <v>0</v>
      </c>
      <c r="AW8" s="96">
        <f>기업46!L10</f>
        <v>0</v>
      </c>
      <c r="AX8" s="96">
        <f>기업47!L10</f>
        <v>0</v>
      </c>
      <c r="AY8" s="96">
        <f>기업48!L10</f>
        <v>0</v>
      </c>
      <c r="AZ8" s="96">
        <f>기업49!L10</f>
        <v>0</v>
      </c>
      <c r="BA8" s="96">
        <f>기업50!L10</f>
        <v>0</v>
      </c>
      <c r="BB8" s="34">
        <f t="shared" ref="BB8:BB46" si="2">D8+E8+F8+G8+H8+I8+J8+K8+L8+M8+N8+O8+P8+Q8+R8+S8+T8+U8+V8+W8+X8+Y8+Z8+AA8+AB8+AC8+AD8+AE8+AF8+AG8+AH8+AI8+AJ8+AK8+AL8+AM8+AN8+AO8+AP8+AQ8+AR8+AS8+AT8+AU8+AV8+AW8+AX8+AY8+AZ8+BA8</f>
        <v>2500968489.5999999</v>
      </c>
    </row>
    <row r="9" spans="1:54" ht="15.75" customHeight="1" x14ac:dyDescent="0.25">
      <c r="A9" s="81"/>
      <c r="B9" s="81"/>
      <c r="C9" s="28" t="s">
        <v>38</v>
      </c>
      <c r="D9" s="96">
        <f>기업01!L11</f>
        <v>5582518.9500000002</v>
      </c>
      <c r="E9" s="96">
        <f>기업02!L11</f>
        <v>0</v>
      </c>
      <c r="F9" s="96">
        <f>기업03!L11</f>
        <v>0</v>
      </c>
      <c r="G9" s="96">
        <f>기업04!L11</f>
        <v>0</v>
      </c>
      <c r="H9" s="96">
        <f>기업05!L11</f>
        <v>0</v>
      </c>
      <c r="I9" s="96">
        <f>기업06!L11</f>
        <v>0</v>
      </c>
      <c r="J9" s="96">
        <f>기업07!L11</f>
        <v>0</v>
      </c>
      <c r="K9" s="96">
        <f>기업08!L11</f>
        <v>0</v>
      </c>
      <c r="L9" s="96">
        <f>기업09!L11</f>
        <v>0</v>
      </c>
      <c r="M9" s="96">
        <f>기업10!L11</f>
        <v>0</v>
      </c>
      <c r="N9" s="96">
        <f>기업11!L11</f>
        <v>0</v>
      </c>
      <c r="O9" s="96">
        <f>기업12!L11</f>
        <v>0</v>
      </c>
      <c r="P9" s="96">
        <f>기업13!L11</f>
        <v>0</v>
      </c>
      <c r="Q9" s="96">
        <f>기업14!L11</f>
        <v>0</v>
      </c>
      <c r="R9" s="96">
        <f>기업15!L11</f>
        <v>0</v>
      </c>
      <c r="S9" s="96">
        <f>기업16!L11</f>
        <v>0</v>
      </c>
      <c r="T9" s="96">
        <f>기업17!L11</f>
        <v>0</v>
      </c>
      <c r="U9" s="96">
        <f>기업18!L11</f>
        <v>0</v>
      </c>
      <c r="V9" s="96">
        <f>기업19!L11</f>
        <v>0</v>
      </c>
      <c r="W9" s="96">
        <f>기업20!L11</f>
        <v>0</v>
      </c>
      <c r="X9" s="96">
        <f>기업21!L11</f>
        <v>0</v>
      </c>
      <c r="Y9" s="96">
        <f>기업22!L11</f>
        <v>0</v>
      </c>
      <c r="Z9" s="96">
        <f>기업23!L11</f>
        <v>0</v>
      </c>
      <c r="AA9" s="96">
        <f>기업24!L11</f>
        <v>0</v>
      </c>
      <c r="AB9" s="96">
        <f>기업25!L11</f>
        <v>0</v>
      </c>
      <c r="AC9" s="96">
        <f>기업26!L11</f>
        <v>0</v>
      </c>
      <c r="AD9" s="96">
        <f>기업27!L11</f>
        <v>0</v>
      </c>
      <c r="AE9" s="96">
        <f>기업28!L11</f>
        <v>0</v>
      </c>
      <c r="AF9" s="96">
        <f>기업29!L11</f>
        <v>0</v>
      </c>
      <c r="AG9" s="96">
        <f>기업30!L11</f>
        <v>0</v>
      </c>
      <c r="AH9" s="96">
        <f>기업31!L11</f>
        <v>0</v>
      </c>
      <c r="AI9" s="96">
        <f>기업32!L11</f>
        <v>0</v>
      </c>
      <c r="AJ9" s="96">
        <f>기업33!L11</f>
        <v>0</v>
      </c>
      <c r="AK9" s="96">
        <f>기업34!L11</f>
        <v>0</v>
      </c>
      <c r="AL9" s="96">
        <f>기업35!L11</f>
        <v>0</v>
      </c>
      <c r="AM9" s="96">
        <f>기업36!L11</f>
        <v>0</v>
      </c>
      <c r="AN9" s="23">
        <f>기업37!L11</f>
        <v>16747556.850000001</v>
      </c>
      <c r="AO9" s="23">
        <f>기업38!L11</f>
        <v>16747556.850000001</v>
      </c>
      <c r="AP9" s="23">
        <f>기업39!L11</f>
        <v>16747556.850000001</v>
      </c>
      <c r="AQ9" s="23">
        <f>기업40!L11</f>
        <v>16747556.850000001</v>
      </c>
      <c r="AR9" s="23">
        <f>기업41!L11</f>
        <v>16747556.850000001</v>
      </c>
      <c r="AS9" s="23">
        <f>기업42!L11</f>
        <v>16747556.850000001</v>
      </c>
      <c r="AT9" s="23">
        <f>기업43!L11</f>
        <v>16747556.850000001</v>
      </c>
      <c r="AU9" s="96">
        <f>기업44!L11</f>
        <v>0</v>
      </c>
      <c r="AV9" s="96">
        <f>기업45!L11</f>
        <v>0</v>
      </c>
      <c r="AW9" s="96">
        <f>기업46!L11</f>
        <v>0</v>
      </c>
      <c r="AX9" s="96">
        <f>기업47!L11</f>
        <v>0</v>
      </c>
      <c r="AY9" s="96">
        <f>기업48!L11</f>
        <v>0</v>
      </c>
      <c r="AZ9" s="96">
        <f>기업49!L11</f>
        <v>0</v>
      </c>
      <c r="BA9" s="96">
        <f>기업50!L11</f>
        <v>0</v>
      </c>
      <c r="BB9" s="34">
        <f t="shared" si="2"/>
        <v>122815416.90000001</v>
      </c>
    </row>
    <row r="10" spans="1:54" ht="15.75" customHeight="1" x14ac:dyDescent="0.25">
      <c r="A10" s="81"/>
      <c r="B10" s="81"/>
      <c r="C10" s="29" t="s">
        <v>81</v>
      </c>
      <c r="D10" s="96">
        <f>기업01!L12</f>
        <v>0</v>
      </c>
      <c r="E10" s="96">
        <f>기업02!L12</f>
        <v>0</v>
      </c>
      <c r="F10" s="96">
        <f>기업03!L12</f>
        <v>0</v>
      </c>
      <c r="G10" s="96">
        <f>기업04!L12</f>
        <v>0</v>
      </c>
      <c r="H10" s="96">
        <f>기업05!L12</f>
        <v>0</v>
      </c>
      <c r="I10" s="96">
        <f>기업06!L12</f>
        <v>0</v>
      </c>
      <c r="J10" s="96">
        <f>기업07!L12</f>
        <v>0</v>
      </c>
      <c r="K10" s="96">
        <f>기업08!L12</f>
        <v>0</v>
      </c>
      <c r="L10" s="96">
        <f>기업09!L12</f>
        <v>0</v>
      </c>
      <c r="M10" s="96">
        <f>기업10!L12</f>
        <v>0</v>
      </c>
      <c r="N10" s="96">
        <f>기업11!L12</f>
        <v>0</v>
      </c>
      <c r="O10" s="96">
        <f>기업12!L12</f>
        <v>0</v>
      </c>
      <c r="P10" s="96">
        <f>기업13!L12</f>
        <v>0</v>
      </c>
      <c r="Q10" s="96">
        <f>기업14!L12</f>
        <v>0</v>
      </c>
      <c r="R10" s="96">
        <f>기업15!L12</f>
        <v>0</v>
      </c>
      <c r="S10" s="96">
        <f>기업16!L12</f>
        <v>0</v>
      </c>
      <c r="T10" s="96">
        <f>기업17!L12</f>
        <v>0</v>
      </c>
      <c r="U10" s="96">
        <f>기업18!L12</f>
        <v>0</v>
      </c>
      <c r="V10" s="96">
        <f>기업19!L12</f>
        <v>0</v>
      </c>
      <c r="W10" s="96">
        <f>기업20!L12</f>
        <v>0</v>
      </c>
      <c r="X10" s="96">
        <f>기업21!L12</f>
        <v>0</v>
      </c>
      <c r="Y10" s="96">
        <f>기업22!L12</f>
        <v>0</v>
      </c>
      <c r="Z10" s="96">
        <f>기업23!L12</f>
        <v>0</v>
      </c>
      <c r="AA10" s="96">
        <f>기업24!L12</f>
        <v>0</v>
      </c>
      <c r="AB10" s="96">
        <f>기업25!L12</f>
        <v>0</v>
      </c>
      <c r="AC10" s="96">
        <f>기업26!L12</f>
        <v>0</v>
      </c>
      <c r="AD10" s="96">
        <f>기업27!L12</f>
        <v>0</v>
      </c>
      <c r="AE10" s="96">
        <f>기업28!L12</f>
        <v>0</v>
      </c>
      <c r="AF10" s="96">
        <f>기업29!L12</f>
        <v>0</v>
      </c>
      <c r="AG10" s="96">
        <f>기업30!L12</f>
        <v>0</v>
      </c>
      <c r="AH10" s="96">
        <f>기업31!L12</f>
        <v>0</v>
      </c>
      <c r="AI10" s="96">
        <f>기업32!L12</f>
        <v>0</v>
      </c>
      <c r="AJ10" s="96">
        <f>기업33!L12</f>
        <v>0</v>
      </c>
      <c r="AK10" s="96">
        <f>기업34!L12</f>
        <v>0</v>
      </c>
      <c r="AL10" s="96">
        <f>기업35!L12</f>
        <v>0</v>
      </c>
      <c r="AM10" s="96">
        <f>기업36!L12</f>
        <v>0</v>
      </c>
      <c r="AN10" s="95">
        <f>기업37!L12</f>
        <v>0</v>
      </c>
      <c r="AO10" s="95">
        <f>기업38!L12</f>
        <v>0</v>
      </c>
      <c r="AP10" s="95">
        <f>기업39!L12</f>
        <v>0</v>
      </c>
      <c r="AQ10" s="95">
        <f>기업40!L12</f>
        <v>0</v>
      </c>
      <c r="AR10" s="95">
        <f>기업41!L12</f>
        <v>0</v>
      </c>
      <c r="AS10" s="95">
        <f>기업42!L12</f>
        <v>0</v>
      </c>
      <c r="AT10" s="95">
        <f>기업43!L12</f>
        <v>0</v>
      </c>
      <c r="AU10" s="23">
        <f>기업44!L12</f>
        <v>5582518.9500000002</v>
      </c>
      <c r="AV10" s="23">
        <f>기업45!L12</f>
        <v>5582518.9500000002</v>
      </c>
      <c r="AW10" s="23">
        <f>기업46!L12</f>
        <v>5582518.9500000002</v>
      </c>
      <c r="AX10" s="23">
        <f>기업47!L12</f>
        <v>5582518.9500000002</v>
      </c>
      <c r="AY10" s="23">
        <f>기업48!L12</f>
        <v>5582518.9500000002</v>
      </c>
      <c r="AZ10" s="23">
        <f>기업49!L12</f>
        <v>5582518.9500000002</v>
      </c>
      <c r="BA10" s="23">
        <f>기업50!L12</f>
        <v>0</v>
      </c>
      <c r="BB10" s="34">
        <f t="shared" si="2"/>
        <v>33495113.699999999</v>
      </c>
    </row>
    <row r="11" spans="1:54" ht="15.75" customHeight="1" x14ac:dyDescent="0.25">
      <c r="A11" s="83">
        <v>2</v>
      </c>
      <c r="B11" s="84" t="s">
        <v>20</v>
      </c>
      <c r="C11" s="26" t="s">
        <v>80</v>
      </c>
      <c r="D11" s="24">
        <f>기업01!L13</f>
        <v>0</v>
      </c>
      <c r="E11" s="24">
        <f>기업02!L13</f>
        <v>0</v>
      </c>
      <c r="F11" s="24">
        <f>기업03!L13</f>
        <v>0</v>
      </c>
      <c r="G11" s="24">
        <f>기업04!L13</f>
        <v>0</v>
      </c>
      <c r="H11" s="24">
        <f>기업05!L13</f>
        <v>0</v>
      </c>
      <c r="I11" s="24">
        <f>기업06!L13</f>
        <v>0</v>
      </c>
      <c r="J11" s="24">
        <f>기업07!L13</f>
        <v>0</v>
      </c>
      <c r="K11" s="24">
        <f>기업08!L13</f>
        <v>0</v>
      </c>
      <c r="L11" s="24">
        <f>기업09!L13</f>
        <v>0</v>
      </c>
      <c r="M11" s="24">
        <f>기업10!L13</f>
        <v>0</v>
      </c>
      <c r="N11" s="24">
        <f>기업11!L13</f>
        <v>0</v>
      </c>
      <c r="O11" s="24">
        <f>기업12!L13</f>
        <v>0</v>
      </c>
      <c r="P11" s="24">
        <f>기업13!L13</f>
        <v>0</v>
      </c>
      <c r="Q11" s="24">
        <f>기업14!L13</f>
        <v>0</v>
      </c>
      <c r="R11" s="24">
        <f>기업15!L13</f>
        <v>0</v>
      </c>
      <c r="S11" s="24">
        <f>기업16!L13</f>
        <v>0</v>
      </c>
      <c r="T11" s="24">
        <f>기업17!L13</f>
        <v>0</v>
      </c>
      <c r="U11" s="24">
        <f>기업18!L13</f>
        <v>0</v>
      </c>
      <c r="V11" s="24">
        <f>기업19!L13</f>
        <v>0</v>
      </c>
      <c r="W11" s="24">
        <f>기업20!L13</f>
        <v>0</v>
      </c>
      <c r="X11" s="24">
        <f>기업21!L13</f>
        <v>0</v>
      </c>
      <c r="Y11" s="24">
        <f>기업22!L13</f>
        <v>0</v>
      </c>
      <c r="Z11" s="24">
        <f>기업23!L13</f>
        <v>0</v>
      </c>
      <c r="AA11" s="24">
        <f>기업24!L13</f>
        <v>0</v>
      </c>
      <c r="AB11" s="24">
        <f>기업25!L13</f>
        <v>0</v>
      </c>
      <c r="AC11" s="24">
        <f>기업26!L13</f>
        <v>0</v>
      </c>
      <c r="AD11" s="24">
        <f>기업27!L13</f>
        <v>0</v>
      </c>
      <c r="AE11" s="24">
        <f>기업28!L13</f>
        <v>0</v>
      </c>
      <c r="AF11" s="24">
        <f>기업29!L13</f>
        <v>0</v>
      </c>
      <c r="AG11" s="24">
        <f>기업30!L13</f>
        <v>0</v>
      </c>
      <c r="AH11" s="24">
        <f>기업31!L13</f>
        <v>0</v>
      </c>
      <c r="AI11" s="24">
        <f>기업32!L13</f>
        <v>0</v>
      </c>
      <c r="AJ11" s="24">
        <f>기업33!L13</f>
        <v>0</v>
      </c>
      <c r="AK11" s="24">
        <f>기업34!L13</f>
        <v>0</v>
      </c>
      <c r="AL11" s="24">
        <f>기업35!L13</f>
        <v>0</v>
      </c>
      <c r="AM11" s="24">
        <f>기업36!L13</f>
        <v>0</v>
      </c>
      <c r="AN11" s="97">
        <f>기업37!L13</f>
        <v>0</v>
      </c>
      <c r="AO11" s="97">
        <f>기업38!L13</f>
        <v>0</v>
      </c>
      <c r="AP11" s="97">
        <f>기업39!L13</f>
        <v>0</v>
      </c>
      <c r="AQ11" s="97">
        <f>기업40!L13</f>
        <v>0</v>
      </c>
      <c r="AR11" s="97">
        <f>기업41!L13</f>
        <v>0</v>
      </c>
      <c r="AS11" s="97">
        <f>기업42!L13</f>
        <v>0</v>
      </c>
      <c r="AT11" s="97">
        <f>기업43!L13</f>
        <v>0</v>
      </c>
      <c r="AU11" s="97">
        <f>기업44!L13</f>
        <v>0</v>
      </c>
      <c r="AV11" s="97">
        <f>기업45!L13</f>
        <v>0</v>
      </c>
      <c r="AW11" s="97">
        <f>기업46!L13</f>
        <v>0</v>
      </c>
      <c r="AX11" s="97">
        <f>기업47!L13</f>
        <v>0</v>
      </c>
      <c r="AY11" s="97">
        <f>기업48!L13</f>
        <v>0</v>
      </c>
      <c r="AZ11" s="97">
        <f>기업49!L13</f>
        <v>0</v>
      </c>
      <c r="BA11" s="97">
        <f>기업50!L13</f>
        <v>0</v>
      </c>
      <c r="BB11" s="34">
        <f t="shared" si="2"/>
        <v>0</v>
      </c>
    </row>
    <row r="12" spans="1:54" ht="15.75" customHeight="1" x14ac:dyDescent="0.25">
      <c r="A12" s="83"/>
      <c r="B12" s="83"/>
      <c r="C12" s="28" t="s">
        <v>38</v>
      </c>
      <c r="D12" s="97">
        <f>기업01!L14</f>
        <v>0</v>
      </c>
      <c r="E12" s="97">
        <f>기업02!L14</f>
        <v>0</v>
      </c>
      <c r="F12" s="97">
        <f>기업03!L14</f>
        <v>0</v>
      </c>
      <c r="G12" s="97">
        <f>기업04!L14</f>
        <v>0</v>
      </c>
      <c r="H12" s="97">
        <f>기업05!L14</f>
        <v>0</v>
      </c>
      <c r="I12" s="97">
        <f>기업06!L14</f>
        <v>0</v>
      </c>
      <c r="J12" s="97">
        <f>기업07!L14</f>
        <v>0</v>
      </c>
      <c r="K12" s="97">
        <f>기업08!L14</f>
        <v>0</v>
      </c>
      <c r="L12" s="97">
        <f>기업09!L14</f>
        <v>0</v>
      </c>
      <c r="M12" s="97">
        <f>기업10!L14</f>
        <v>0</v>
      </c>
      <c r="N12" s="97">
        <f>기업11!L14</f>
        <v>0</v>
      </c>
      <c r="O12" s="97">
        <f>기업12!L14</f>
        <v>0</v>
      </c>
      <c r="P12" s="97">
        <f>기업13!L14</f>
        <v>0</v>
      </c>
      <c r="Q12" s="97">
        <f>기업14!L14</f>
        <v>0</v>
      </c>
      <c r="R12" s="97">
        <f>기업15!L14</f>
        <v>0</v>
      </c>
      <c r="S12" s="97">
        <f>기업16!L14</f>
        <v>0</v>
      </c>
      <c r="T12" s="97">
        <f>기업17!L14</f>
        <v>0</v>
      </c>
      <c r="U12" s="97">
        <f>기업18!L14</f>
        <v>0</v>
      </c>
      <c r="V12" s="97">
        <f>기업19!L14</f>
        <v>0</v>
      </c>
      <c r="W12" s="97">
        <f>기업20!L14</f>
        <v>0</v>
      </c>
      <c r="X12" s="97">
        <f>기업21!L14</f>
        <v>0</v>
      </c>
      <c r="Y12" s="97">
        <f>기업22!L14</f>
        <v>0</v>
      </c>
      <c r="Z12" s="97">
        <f>기업23!L14</f>
        <v>0</v>
      </c>
      <c r="AA12" s="97">
        <f>기업24!L14</f>
        <v>0</v>
      </c>
      <c r="AB12" s="97">
        <f>기업25!L14</f>
        <v>0</v>
      </c>
      <c r="AC12" s="97">
        <f>기업26!L14</f>
        <v>0</v>
      </c>
      <c r="AD12" s="97">
        <f>기업27!L14</f>
        <v>0</v>
      </c>
      <c r="AE12" s="97">
        <f>기업28!L14</f>
        <v>0</v>
      </c>
      <c r="AF12" s="97">
        <f>기업29!L14</f>
        <v>0</v>
      </c>
      <c r="AG12" s="97">
        <f>기업30!L14</f>
        <v>0</v>
      </c>
      <c r="AH12" s="97">
        <f>기업31!L14</f>
        <v>0</v>
      </c>
      <c r="AI12" s="97">
        <f>기업32!L14</f>
        <v>0</v>
      </c>
      <c r="AJ12" s="97">
        <f>기업33!L14</f>
        <v>0</v>
      </c>
      <c r="AK12" s="97">
        <f>기업34!L14</f>
        <v>0</v>
      </c>
      <c r="AL12" s="97">
        <f>기업35!L14</f>
        <v>0</v>
      </c>
      <c r="AM12" s="97">
        <f>기업36!L14</f>
        <v>0</v>
      </c>
      <c r="AN12" s="24">
        <f>기업37!L14</f>
        <v>2008108.65</v>
      </c>
      <c r="AO12" s="24">
        <f>기업38!L14</f>
        <v>2008108.65</v>
      </c>
      <c r="AP12" s="24">
        <f>기업39!L14</f>
        <v>2008108.65</v>
      </c>
      <c r="AQ12" s="24">
        <f>기업40!L14</f>
        <v>2008108.65</v>
      </c>
      <c r="AR12" s="24">
        <f>기업41!L14</f>
        <v>2008108.65</v>
      </c>
      <c r="AS12" s="24">
        <f>기업42!L14</f>
        <v>2008108.65</v>
      </c>
      <c r="AT12" s="24">
        <f>기업43!L14</f>
        <v>2008108.65</v>
      </c>
      <c r="AU12" s="97">
        <f>기업44!L14</f>
        <v>0</v>
      </c>
      <c r="AV12" s="97">
        <f>기업45!L14</f>
        <v>0</v>
      </c>
      <c r="AW12" s="97">
        <f>기업46!L14</f>
        <v>0</v>
      </c>
      <c r="AX12" s="97">
        <f>기업47!L14</f>
        <v>0</v>
      </c>
      <c r="AY12" s="97">
        <f>기업48!L14</f>
        <v>0</v>
      </c>
      <c r="AZ12" s="97">
        <f>기업49!L14</f>
        <v>0</v>
      </c>
      <c r="BA12" s="97">
        <f>기업50!L14</f>
        <v>0</v>
      </c>
      <c r="BB12" s="34">
        <f t="shared" si="2"/>
        <v>14056760.550000001</v>
      </c>
    </row>
    <row r="13" spans="1:54" ht="15.75" customHeight="1" x14ac:dyDescent="0.25">
      <c r="A13" s="83"/>
      <c r="B13" s="83"/>
      <c r="C13" s="29" t="s">
        <v>81</v>
      </c>
      <c r="D13" s="97">
        <f>기업01!L15</f>
        <v>0</v>
      </c>
      <c r="E13" s="97">
        <f>기업02!L15</f>
        <v>0</v>
      </c>
      <c r="F13" s="97">
        <f>기업03!L15</f>
        <v>0</v>
      </c>
      <c r="G13" s="97">
        <f>기업04!L15</f>
        <v>0</v>
      </c>
      <c r="H13" s="97">
        <f>기업05!L15</f>
        <v>0</v>
      </c>
      <c r="I13" s="97">
        <f>기업06!L15</f>
        <v>0</v>
      </c>
      <c r="J13" s="97">
        <f>기업07!L15</f>
        <v>0</v>
      </c>
      <c r="K13" s="97">
        <f>기업08!L15</f>
        <v>0</v>
      </c>
      <c r="L13" s="97">
        <f>기업09!L15</f>
        <v>0</v>
      </c>
      <c r="M13" s="97">
        <f>기업10!L15</f>
        <v>0</v>
      </c>
      <c r="N13" s="97">
        <f>기업11!L15</f>
        <v>0</v>
      </c>
      <c r="O13" s="97">
        <f>기업12!L15</f>
        <v>0</v>
      </c>
      <c r="P13" s="97">
        <f>기업13!L15</f>
        <v>0</v>
      </c>
      <c r="Q13" s="97">
        <f>기업14!L15</f>
        <v>0</v>
      </c>
      <c r="R13" s="97">
        <f>기업15!L15</f>
        <v>0</v>
      </c>
      <c r="S13" s="97">
        <f>기업16!L15</f>
        <v>0</v>
      </c>
      <c r="T13" s="97">
        <f>기업17!L15</f>
        <v>0</v>
      </c>
      <c r="U13" s="97">
        <f>기업18!L15</f>
        <v>0</v>
      </c>
      <c r="V13" s="97">
        <f>기업19!L15</f>
        <v>0</v>
      </c>
      <c r="W13" s="97">
        <f>기업20!L15</f>
        <v>0</v>
      </c>
      <c r="X13" s="97">
        <f>기업21!L15</f>
        <v>0</v>
      </c>
      <c r="Y13" s="97">
        <f>기업22!L15</f>
        <v>0</v>
      </c>
      <c r="Z13" s="97">
        <f>기업23!L15</f>
        <v>0</v>
      </c>
      <c r="AA13" s="97">
        <f>기업24!L15</f>
        <v>0</v>
      </c>
      <c r="AB13" s="97">
        <f>기업25!L15</f>
        <v>0</v>
      </c>
      <c r="AC13" s="97">
        <f>기업26!L15</f>
        <v>0</v>
      </c>
      <c r="AD13" s="97">
        <f>기업27!L15</f>
        <v>0</v>
      </c>
      <c r="AE13" s="97">
        <f>기업28!L15</f>
        <v>0</v>
      </c>
      <c r="AF13" s="97">
        <f>기업29!L15</f>
        <v>0</v>
      </c>
      <c r="AG13" s="97">
        <f>기업30!L15</f>
        <v>0</v>
      </c>
      <c r="AH13" s="97">
        <f>기업31!L15</f>
        <v>0</v>
      </c>
      <c r="AI13" s="97">
        <f>기업32!L15</f>
        <v>0</v>
      </c>
      <c r="AJ13" s="97">
        <f>기업33!L15</f>
        <v>0</v>
      </c>
      <c r="AK13" s="97">
        <f>기업34!L15</f>
        <v>0</v>
      </c>
      <c r="AL13" s="97">
        <f>기업35!L15</f>
        <v>0</v>
      </c>
      <c r="AM13" s="97">
        <f>기업36!L15</f>
        <v>0</v>
      </c>
      <c r="AN13" s="97">
        <f>기업37!L15</f>
        <v>2008108.65</v>
      </c>
      <c r="AO13" s="97">
        <f>기업38!L15</f>
        <v>0</v>
      </c>
      <c r="AP13" s="97">
        <f>기업39!L15</f>
        <v>0</v>
      </c>
      <c r="AQ13" s="97">
        <f>기업40!L15</f>
        <v>0</v>
      </c>
      <c r="AR13" s="97">
        <f>기업41!L15</f>
        <v>0</v>
      </c>
      <c r="AS13" s="97">
        <f>기업42!L15</f>
        <v>0</v>
      </c>
      <c r="AT13" s="97">
        <f>기업43!L15</f>
        <v>0</v>
      </c>
      <c r="AU13" s="24">
        <f>기업44!L15</f>
        <v>2008108.65</v>
      </c>
      <c r="AV13" s="24">
        <f>기업45!L15</f>
        <v>4016217.3</v>
      </c>
      <c r="AW13" s="24">
        <f>기업46!L15</f>
        <v>4016217.3</v>
      </c>
      <c r="AX13" s="24">
        <f>기업47!L15</f>
        <v>4016217.3</v>
      </c>
      <c r="AY13" s="24">
        <f>기업48!L15</f>
        <v>4016217.3</v>
      </c>
      <c r="AZ13" s="24">
        <f>기업49!L15</f>
        <v>4016217.3</v>
      </c>
      <c r="BA13" s="24">
        <f>기업50!L15</f>
        <v>2008108.65</v>
      </c>
      <c r="BB13" s="34">
        <f t="shared" si="2"/>
        <v>26105412.449999999</v>
      </c>
    </row>
    <row r="14" spans="1:54" ht="15.75" customHeight="1" x14ac:dyDescent="0.25">
      <c r="A14" s="81">
        <v>3</v>
      </c>
      <c r="B14" s="82" t="s">
        <v>59</v>
      </c>
      <c r="C14" s="26" t="s">
        <v>80</v>
      </c>
      <c r="D14" s="23">
        <f>기업01!L16</f>
        <v>0</v>
      </c>
      <c r="E14" s="23">
        <f>기업02!L16</f>
        <v>24964658.599999998</v>
      </c>
      <c r="F14" s="23">
        <f>기업03!L16</f>
        <v>24964658.599999998</v>
      </c>
      <c r="G14" s="23">
        <f>기업04!L16</f>
        <v>24964658.599999998</v>
      </c>
      <c r="H14" s="23">
        <f>기업05!L16</f>
        <v>24964658.599999998</v>
      </c>
      <c r="I14" s="23">
        <f>기업06!L16</f>
        <v>24964658.599999998</v>
      </c>
      <c r="J14" s="23">
        <f>기업07!L16</f>
        <v>24964658.599999998</v>
      </c>
      <c r="K14" s="23">
        <f>기업08!L16</f>
        <v>24964658.599999998</v>
      </c>
      <c r="L14" s="23">
        <f>기업09!L16</f>
        <v>24964658.599999998</v>
      </c>
      <c r="M14" s="23">
        <f>기업10!L16</f>
        <v>24964658.599999998</v>
      </c>
      <c r="N14" s="23">
        <f>기업11!L16</f>
        <v>24964658.599999998</v>
      </c>
      <c r="O14" s="23">
        <f>기업12!L16</f>
        <v>24964658.599999998</v>
      </c>
      <c r="P14" s="23">
        <f>기업13!L16</f>
        <v>0</v>
      </c>
      <c r="Q14" s="23">
        <f>기업14!L16</f>
        <v>0</v>
      </c>
      <c r="R14" s="23">
        <f>기업15!L16</f>
        <v>0</v>
      </c>
      <c r="S14" s="23">
        <f>기업16!L16</f>
        <v>0</v>
      </c>
      <c r="T14" s="23">
        <f>기업17!L16</f>
        <v>0</v>
      </c>
      <c r="U14" s="23">
        <f>기업18!L16</f>
        <v>0</v>
      </c>
      <c r="V14" s="23">
        <f>기업19!L16</f>
        <v>0</v>
      </c>
      <c r="W14" s="23">
        <f>기업20!L16</f>
        <v>0</v>
      </c>
      <c r="X14" s="23">
        <f>기업21!L16</f>
        <v>0</v>
      </c>
      <c r="Y14" s="23">
        <f>기업22!L16</f>
        <v>0</v>
      </c>
      <c r="Z14" s="23">
        <f>기업23!L16</f>
        <v>0</v>
      </c>
      <c r="AA14" s="23">
        <f>기업24!L16</f>
        <v>0</v>
      </c>
      <c r="AB14" s="23">
        <f>기업25!L16</f>
        <v>0</v>
      </c>
      <c r="AC14" s="23">
        <f>기업26!L16</f>
        <v>0</v>
      </c>
      <c r="AD14" s="23">
        <f>기업27!L16</f>
        <v>0</v>
      </c>
      <c r="AE14" s="23">
        <f>기업28!L16</f>
        <v>0</v>
      </c>
      <c r="AF14" s="23">
        <f>기업29!L16</f>
        <v>0</v>
      </c>
      <c r="AG14" s="23">
        <f>기업30!L16</f>
        <v>0</v>
      </c>
      <c r="AH14" s="23">
        <f>기업31!L16</f>
        <v>0</v>
      </c>
      <c r="AI14" s="23">
        <f>기업32!L16</f>
        <v>0</v>
      </c>
      <c r="AJ14" s="23">
        <f>기업33!L16</f>
        <v>0</v>
      </c>
      <c r="AK14" s="23">
        <f>기업34!L16</f>
        <v>0</v>
      </c>
      <c r="AL14" s="23">
        <f>기업35!L16</f>
        <v>0</v>
      </c>
      <c r="AM14" s="23">
        <f>기업36!L16</f>
        <v>0</v>
      </c>
      <c r="AN14" s="96">
        <f>기업37!L16</f>
        <v>0</v>
      </c>
      <c r="AO14" s="96">
        <f>기업38!L16</f>
        <v>0</v>
      </c>
      <c r="AP14" s="96">
        <f>기업39!L16</f>
        <v>0</v>
      </c>
      <c r="AQ14" s="96">
        <f>기업40!L16</f>
        <v>0</v>
      </c>
      <c r="AR14" s="96">
        <f>기업41!L16</f>
        <v>0</v>
      </c>
      <c r="AS14" s="96">
        <f>기업42!L16</f>
        <v>0</v>
      </c>
      <c r="AT14" s="96">
        <f>기업43!L16</f>
        <v>0</v>
      </c>
      <c r="AU14" s="96">
        <f>기업44!L16</f>
        <v>0</v>
      </c>
      <c r="AV14" s="96">
        <f>기업45!L16</f>
        <v>0</v>
      </c>
      <c r="AW14" s="96">
        <f>기업46!L16</f>
        <v>0</v>
      </c>
      <c r="AX14" s="96">
        <f>기업47!L16</f>
        <v>0</v>
      </c>
      <c r="AY14" s="96">
        <f>기업48!L16</f>
        <v>0</v>
      </c>
      <c r="AZ14" s="96">
        <f>기업49!L16</f>
        <v>0</v>
      </c>
      <c r="BA14" s="96">
        <f>기업50!L16</f>
        <v>0</v>
      </c>
      <c r="BB14" s="34">
        <f t="shared" si="2"/>
        <v>274611244.59999996</v>
      </c>
    </row>
    <row r="15" spans="1:54" ht="15.75" customHeight="1" x14ac:dyDescent="0.25">
      <c r="A15" s="81"/>
      <c r="B15" s="81"/>
      <c r="C15" s="28" t="s">
        <v>38</v>
      </c>
      <c r="D15" s="96">
        <f>기업01!L17</f>
        <v>0</v>
      </c>
      <c r="E15" s="96">
        <f>기업02!L17</f>
        <v>0</v>
      </c>
      <c r="F15" s="96">
        <f>기업03!L17</f>
        <v>0</v>
      </c>
      <c r="G15" s="96">
        <f>기업04!L17</f>
        <v>0</v>
      </c>
      <c r="H15" s="96">
        <f>기업05!L17</f>
        <v>0</v>
      </c>
      <c r="I15" s="96">
        <f>기업06!L17</f>
        <v>0</v>
      </c>
      <c r="J15" s="96">
        <f>기업07!L17</f>
        <v>0</v>
      </c>
      <c r="K15" s="96">
        <f>기업08!L17</f>
        <v>0</v>
      </c>
      <c r="L15" s="96">
        <f>기업09!L17</f>
        <v>0</v>
      </c>
      <c r="M15" s="96">
        <f>기업10!L17</f>
        <v>0</v>
      </c>
      <c r="N15" s="96">
        <f>기업11!L17</f>
        <v>0</v>
      </c>
      <c r="O15" s="96">
        <f>기업12!L17</f>
        <v>0</v>
      </c>
      <c r="P15" s="96">
        <f>기업13!L17</f>
        <v>0</v>
      </c>
      <c r="Q15" s="96">
        <f>기업14!L17</f>
        <v>0</v>
      </c>
      <c r="R15" s="96">
        <f>기업15!L17</f>
        <v>0</v>
      </c>
      <c r="S15" s="96">
        <f>기업16!L17</f>
        <v>0</v>
      </c>
      <c r="T15" s="96">
        <f>기업17!L17</f>
        <v>0</v>
      </c>
      <c r="U15" s="96">
        <f>기업18!L17</f>
        <v>0</v>
      </c>
      <c r="V15" s="96">
        <f>기업19!L17</f>
        <v>0</v>
      </c>
      <c r="W15" s="96">
        <f>기업20!L17</f>
        <v>0</v>
      </c>
      <c r="X15" s="96">
        <f>기업21!L17</f>
        <v>0</v>
      </c>
      <c r="Y15" s="96">
        <f>기업22!L17</f>
        <v>0</v>
      </c>
      <c r="Z15" s="96">
        <f>기업23!L17</f>
        <v>0</v>
      </c>
      <c r="AA15" s="96">
        <f>기업24!L17</f>
        <v>0</v>
      </c>
      <c r="AB15" s="96">
        <f>기업25!L17</f>
        <v>0</v>
      </c>
      <c r="AC15" s="96">
        <f>기업26!L17</f>
        <v>0</v>
      </c>
      <c r="AD15" s="96">
        <f>기업27!L17</f>
        <v>0</v>
      </c>
      <c r="AE15" s="96">
        <f>기업28!L17</f>
        <v>0</v>
      </c>
      <c r="AF15" s="96">
        <f>기업29!L17</f>
        <v>0</v>
      </c>
      <c r="AG15" s="96">
        <f>기업30!L17</f>
        <v>0</v>
      </c>
      <c r="AH15" s="96">
        <f>기업31!L17</f>
        <v>0</v>
      </c>
      <c r="AI15" s="96">
        <f>기업32!L17</f>
        <v>0</v>
      </c>
      <c r="AJ15" s="96">
        <f>기업33!L17</f>
        <v>0</v>
      </c>
      <c r="AK15" s="96">
        <f>기업34!L17</f>
        <v>0</v>
      </c>
      <c r="AL15" s="96">
        <f>기업35!L17</f>
        <v>0</v>
      </c>
      <c r="AM15" s="96">
        <f>기업36!L17</f>
        <v>0</v>
      </c>
      <c r="AN15" s="23">
        <f>기업37!L17</f>
        <v>5349569.7</v>
      </c>
      <c r="AO15" s="23">
        <f>기업38!L17</f>
        <v>5349569.7</v>
      </c>
      <c r="AP15" s="23">
        <f>기업39!L17</f>
        <v>5349569.7</v>
      </c>
      <c r="AQ15" s="23">
        <f>기업40!L17</f>
        <v>5349569.7</v>
      </c>
      <c r="AR15" s="23">
        <f>기업41!L17</f>
        <v>5349569.7</v>
      </c>
      <c r="AS15" s="23">
        <f>기업42!L17</f>
        <v>5349569.7</v>
      </c>
      <c r="AT15" s="23">
        <f>기업43!L17</f>
        <v>5349569.7</v>
      </c>
      <c r="AU15" s="23">
        <f>기업44!L17</f>
        <v>0</v>
      </c>
      <c r="AV15" s="23">
        <f>기업45!L17</f>
        <v>0</v>
      </c>
      <c r="AW15" s="23">
        <f>기업46!L17</f>
        <v>0</v>
      </c>
      <c r="AX15" s="23">
        <f>기업47!L17</f>
        <v>0</v>
      </c>
      <c r="AY15" s="23">
        <f>기업48!L17</f>
        <v>0</v>
      </c>
      <c r="AZ15" s="23">
        <f>기업49!L17</f>
        <v>0</v>
      </c>
      <c r="BA15" s="23">
        <f>기업50!L17</f>
        <v>0</v>
      </c>
      <c r="BB15" s="34">
        <f t="shared" si="2"/>
        <v>37446987.899999999</v>
      </c>
    </row>
    <row r="16" spans="1:54" ht="15.75" customHeight="1" x14ac:dyDescent="0.25">
      <c r="A16" s="81"/>
      <c r="B16" s="81"/>
      <c r="C16" s="29" t="s">
        <v>81</v>
      </c>
      <c r="D16" s="96">
        <f>기업01!L18</f>
        <v>0</v>
      </c>
      <c r="E16" s="96">
        <f>기업02!L18</f>
        <v>0</v>
      </c>
      <c r="F16" s="96">
        <f>기업03!L18</f>
        <v>0</v>
      </c>
      <c r="G16" s="96">
        <f>기업04!L18</f>
        <v>0</v>
      </c>
      <c r="H16" s="96">
        <f>기업05!L18</f>
        <v>0</v>
      </c>
      <c r="I16" s="96">
        <f>기업06!L18</f>
        <v>0</v>
      </c>
      <c r="J16" s="96">
        <f>기업07!L18</f>
        <v>0</v>
      </c>
      <c r="K16" s="96">
        <f>기업08!L18</f>
        <v>0</v>
      </c>
      <c r="L16" s="96">
        <f>기업09!L18</f>
        <v>0</v>
      </c>
      <c r="M16" s="96">
        <f>기업10!L18</f>
        <v>0</v>
      </c>
      <c r="N16" s="96">
        <f>기업11!L18</f>
        <v>0</v>
      </c>
      <c r="O16" s="96">
        <f>기업12!L18</f>
        <v>0</v>
      </c>
      <c r="P16" s="96">
        <f>기업13!L18</f>
        <v>0</v>
      </c>
      <c r="Q16" s="96">
        <f>기업14!L18</f>
        <v>0</v>
      </c>
      <c r="R16" s="96">
        <f>기업15!L18</f>
        <v>0</v>
      </c>
      <c r="S16" s="96">
        <f>기업16!L18</f>
        <v>0</v>
      </c>
      <c r="T16" s="96">
        <f>기업17!L18</f>
        <v>0</v>
      </c>
      <c r="U16" s="96">
        <f>기업18!L18</f>
        <v>0</v>
      </c>
      <c r="V16" s="96">
        <f>기업19!L18</f>
        <v>0</v>
      </c>
      <c r="W16" s="96">
        <f>기업20!L18</f>
        <v>0</v>
      </c>
      <c r="X16" s="96">
        <f>기업21!L18</f>
        <v>0</v>
      </c>
      <c r="Y16" s="96">
        <f>기업22!L18</f>
        <v>0</v>
      </c>
      <c r="Z16" s="96">
        <f>기업23!L18</f>
        <v>0</v>
      </c>
      <c r="AA16" s="96">
        <f>기업24!L18</f>
        <v>0</v>
      </c>
      <c r="AB16" s="96">
        <f>기업25!L18</f>
        <v>0</v>
      </c>
      <c r="AC16" s="96">
        <f>기업26!L18</f>
        <v>0</v>
      </c>
      <c r="AD16" s="96">
        <f>기업27!L18</f>
        <v>0</v>
      </c>
      <c r="AE16" s="96">
        <f>기업28!L18</f>
        <v>0</v>
      </c>
      <c r="AF16" s="96">
        <f>기업29!L18</f>
        <v>0</v>
      </c>
      <c r="AG16" s="96">
        <f>기업30!L18</f>
        <v>0</v>
      </c>
      <c r="AH16" s="96">
        <f>기업31!L18</f>
        <v>0</v>
      </c>
      <c r="AI16" s="96">
        <f>기업32!L18</f>
        <v>0</v>
      </c>
      <c r="AJ16" s="96">
        <f>기업33!L18</f>
        <v>0</v>
      </c>
      <c r="AK16" s="96">
        <f>기업34!L18</f>
        <v>0</v>
      </c>
      <c r="AL16" s="96">
        <f>기업35!L18</f>
        <v>0</v>
      </c>
      <c r="AM16" s="96">
        <f>기업36!L18</f>
        <v>0</v>
      </c>
      <c r="AN16" s="96">
        <f>기업37!L18</f>
        <v>0</v>
      </c>
      <c r="AO16" s="96">
        <f>기업38!L18</f>
        <v>0</v>
      </c>
      <c r="AP16" s="96">
        <f>기업39!L18</f>
        <v>0</v>
      </c>
      <c r="AQ16" s="96">
        <f>기업40!L18</f>
        <v>0</v>
      </c>
      <c r="AR16" s="96">
        <f>기업41!L18</f>
        <v>0</v>
      </c>
      <c r="AS16" s="96">
        <f>기업42!L18</f>
        <v>0</v>
      </c>
      <c r="AT16" s="96">
        <f>기업43!L18</f>
        <v>0</v>
      </c>
      <c r="AU16" s="23">
        <f>기업44!L18</f>
        <v>5349569.7</v>
      </c>
      <c r="AV16" s="23">
        <f>기업45!L18</f>
        <v>5349569.7</v>
      </c>
      <c r="AW16" s="23">
        <f>기업46!L18</f>
        <v>5349569.7</v>
      </c>
      <c r="AX16" s="23">
        <f>기업47!L18</f>
        <v>5349569.7</v>
      </c>
      <c r="AY16" s="23">
        <f>기업48!L18</f>
        <v>5349569.7</v>
      </c>
      <c r="AZ16" s="23">
        <f>기업49!L18</f>
        <v>5349569.7</v>
      </c>
      <c r="BA16" s="23">
        <f>기업50!L18</f>
        <v>5349569.7</v>
      </c>
      <c r="BB16" s="34">
        <f t="shared" si="2"/>
        <v>37446987.899999999</v>
      </c>
    </row>
    <row r="17" spans="1:54" ht="15.75" customHeight="1" x14ac:dyDescent="0.25">
      <c r="A17" s="83">
        <v>4</v>
      </c>
      <c r="B17" s="84" t="s">
        <v>21</v>
      </c>
      <c r="C17" s="26" t="s">
        <v>80</v>
      </c>
      <c r="D17" s="24">
        <f>기업01!L19</f>
        <v>0</v>
      </c>
      <c r="E17" s="24">
        <f>기업02!L19</f>
        <v>0</v>
      </c>
      <c r="F17" s="24">
        <f>기업03!L19</f>
        <v>0</v>
      </c>
      <c r="G17" s="24">
        <f>기업04!L19</f>
        <v>0</v>
      </c>
      <c r="H17" s="24">
        <f>기업05!L19</f>
        <v>0</v>
      </c>
      <c r="I17" s="24">
        <f>기업06!L19</f>
        <v>0</v>
      </c>
      <c r="J17" s="24">
        <f>기업07!L19</f>
        <v>0</v>
      </c>
      <c r="K17" s="24">
        <f>기업08!L19</f>
        <v>0</v>
      </c>
      <c r="L17" s="24">
        <f>기업09!L19</f>
        <v>0</v>
      </c>
      <c r="M17" s="24">
        <f>기업10!L19</f>
        <v>0</v>
      </c>
      <c r="N17" s="24">
        <f>기업11!L19</f>
        <v>0</v>
      </c>
      <c r="O17" s="24">
        <f>기업12!L19</f>
        <v>0</v>
      </c>
      <c r="P17" s="24">
        <f>기업13!L19</f>
        <v>0</v>
      </c>
      <c r="Q17" s="24">
        <f>기업14!L19</f>
        <v>0</v>
      </c>
      <c r="R17" s="24">
        <f>기업15!L19</f>
        <v>0</v>
      </c>
      <c r="S17" s="24">
        <f>기업16!L19</f>
        <v>0</v>
      </c>
      <c r="T17" s="24">
        <f>기업17!L19</f>
        <v>0</v>
      </c>
      <c r="U17" s="24">
        <f>기업18!L19</f>
        <v>0</v>
      </c>
      <c r="V17" s="24">
        <f>기업19!L19</f>
        <v>0</v>
      </c>
      <c r="W17" s="24">
        <f>기업20!L19</f>
        <v>0</v>
      </c>
      <c r="X17" s="24">
        <f>기업21!L19</f>
        <v>0</v>
      </c>
      <c r="Y17" s="24">
        <f>기업22!L19</f>
        <v>0</v>
      </c>
      <c r="Z17" s="24">
        <f>기업23!L19</f>
        <v>0</v>
      </c>
      <c r="AA17" s="24">
        <f>기업24!L19</f>
        <v>0</v>
      </c>
      <c r="AB17" s="24">
        <f>기업25!L19</f>
        <v>0</v>
      </c>
      <c r="AC17" s="24">
        <f>기업26!L19</f>
        <v>0</v>
      </c>
      <c r="AD17" s="24">
        <f>기업27!L19</f>
        <v>0</v>
      </c>
      <c r="AE17" s="24">
        <f>기업28!L19</f>
        <v>0</v>
      </c>
      <c r="AF17" s="24">
        <f>기업29!L19</f>
        <v>0</v>
      </c>
      <c r="AG17" s="24">
        <f>기업30!L19</f>
        <v>0</v>
      </c>
      <c r="AH17" s="24">
        <f>기업31!L19</f>
        <v>0</v>
      </c>
      <c r="AI17" s="24">
        <f>기업32!L19</f>
        <v>0</v>
      </c>
      <c r="AJ17" s="24">
        <f>기업33!L19</f>
        <v>0</v>
      </c>
      <c r="AK17" s="24">
        <f>기업34!L19</f>
        <v>0</v>
      </c>
      <c r="AL17" s="24">
        <f>기업35!L19</f>
        <v>0</v>
      </c>
      <c r="AM17" s="24">
        <f>기업36!L19</f>
        <v>0</v>
      </c>
      <c r="AN17" s="97">
        <f>기업37!L19</f>
        <v>0</v>
      </c>
      <c r="AO17" s="97">
        <f>기업38!L19</f>
        <v>0</v>
      </c>
      <c r="AP17" s="97">
        <f>기업39!L19</f>
        <v>0</v>
      </c>
      <c r="AQ17" s="97">
        <f>기업40!L19</f>
        <v>0</v>
      </c>
      <c r="AR17" s="97">
        <f>기업41!L19</f>
        <v>0</v>
      </c>
      <c r="AS17" s="97">
        <f>기업42!L19</f>
        <v>0</v>
      </c>
      <c r="AT17" s="97">
        <f>기업43!L19</f>
        <v>0</v>
      </c>
      <c r="AU17" s="97">
        <f>기업44!L19</f>
        <v>0</v>
      </c>
      <c r="AV17" s="97">
        <f>기업45!L19</f>
        <v>0</v>
      </c>
      <c r="AW17" s="97">
        <f>기업46!L19</f>
        <v>0</v>
      </c>
      <c r="AX17" s="97">
        <f>기업47!L19</f>
        <v>0</v>
      </c>
      <c r="AY17" s="97">
        <f>기업48!L19</f>
        <v>0</v>
      </c>
      <c r="AZ17" s="97">
        <f>기업49!L19</f>
        <v>0</v>
      </c>
      <c r="BA17" s="97">
        <f>기업50!L19</f>
        <v>0</v>
      </c>
      <c r="BB17" s="34">
        <f t="shared" si="2"/>
        <v>0</v>
      </c>
    </row>
    <row r="18" spans="1:54" ht="15.75" customHeight="1" x14ac:dyDescent="0.25">
      <c r="A18" s="83"/>
      <c r="B18" s="83"/>
      <c r="C18" s="28" t="s">
        <v>38</v>
      </c>
      <c r="D18" s="97">
        <f>기업01!L20</f>
        <v>0</v>
      </c>
      <c r="E18" s="97">
        <f>기업02!L20</f>
        <v>0</v>
      </c>
      <c r="F18" s="97">
        <f>기업03!L20</f>
        <v>0</v>
      </c>
      <c r="G18" s="97">
        <f>기업04!L20</f>
        <v>0</v>
      </c>
      <c r="H18" s="97">
        <f>기업05!L20</f>
        <v>0</v>
      </c>
      <c r="I18" s="97">
        <f>기업06!L20</f>
        <v>0</v>
      </c>
      <c r="J18" s="97">
        <f>기업07!L20</f>
        <v>0</v>
      </c>
      <c r="K18" s="97">
        <f>기업08!L20</f>
        <v>0</v>
      </c>
      <c r="L18" s="97">
        <f>기업09!L20</f>
        <v>0</v>
      </c>
      <c r="M18" s="97">
        <f>기업10!L20</f>
        <v>0</v>
      </c>
      <c r="N18" s="97">
        <f>기업11!L20</f>
        <v>0</v>
      </c>
      <c r="O18" s="97">
        <f>기업12!L20</f>
        <v>0</v>
      </c>
      <c r="P18" s="97">
        <f>기업13!L20</f>
        <v>0</v>
      </c>
      <c r="Q18" s="97">
        <f>기업14!L20</f>
        <v>0</v>
      </c>
      <c r="R18" s="97">
        <f>기업15!L20</f>
        <v>0</v>
      </c>
      <c r="S18" s="97">
        <f>기업16!L20</f>
        <v>0</v>
      </c>
      <c r="T18" s="97">
        <f>기업17!L20</f>
        <v>0</v>
      </c>
      <c r="U18" s="97">
        <f>기업18!L20</f>
        <v>0</v>
      </c>
      <c r="V18" s="97">
        <f>기업19!L20</f>
        <v>0</v>
      </c>
      <c r="W18" s="97">
        <f>기업20!L20</f>
        <v>0</v>
      </c>
      <c r="X18" s="97">
        <f>기업21!L20</f>
        <v>0</v>
      </c>
      <c r="Y18" s="97">
        <f>기업22!L20</f>
        <v>0</v>
      </c>
      <c r="Z18" s="97">
        <f>기업23!L20</f>
        <v>0</v>
      </c>
      <c r="AA18" s="97">
        <f>기업24!L20</f>
        <v>0</v>
      </c>
      <c r="AB18" s="97">
        <f>기업25!L20</f>
        <v>0</v>
      </c>
      <c r="AC18" s="97">
        <f>기업26!L20</f>
        <v>0</v>
      </c>
      <c r="AD18" s="97">
        <f>기업27!L20</f>
        <v>0</v>
      </c>
      <c r="AE18" s="97">
        <f>기업28!L20</f>
        <v>0</v>
      </c>
      <c r="AF18" s="97">
        <f>기업29!L20</f>
        <v>0</v>
      </c>
      <c r="AG18" s="97">
        <f>기업30!L20</f>
        <v>0</v>
      </c>
      <c r="AH18" s="97">
        <f>기업31!L20</f>
        <v>0</v>
      </c>
      <c r="AI18" s="97">
        <f>기업32!L20</f>
        <v>0</v>
      </c>
      <c r="AJ18" s="97">
        <f>기업33!L20</f>
        <v>0</v>
      </c>
      <c r="AK18" s="97">
        <f>기업34!L20</f>
        <v>0</v>
      </c>
      <c r="AL18" s="97">
        <f>기업35!L20</f>
        <v>0</v>
      </c>
      <c r="AM18" s="97">
        <f>기업36!L20</f>
        <v>0</v>
      </c>
      <c r="AN18" s="24">
        <f>기업37!L20</f>
        <v>3634176</v>
      </c>
      <c r="AO18" s="24">
        <f>기업38!L20</f>
        <v>3634176</v>
      </c>
      <c r="AP18" s="24">
        <f>기업39!L20</f>
        <v>3634176</v>
      </c>
      <c r="AQ18" s="24">
        <f>기업40!L20</f>
        <v>3634176</v>
      </c>
      <c r="AR18" s="24">
        <f>기업41!L20</f>
        <v>3634176</v>
      </c>
      <c r="AS18" s="24">
        <f>기업42!L20</f>
        <v>3634176</v>
      </c>
      <c r="AT18" s="24">
        <f>기업43!L20</f>
        <v>3634176</v>
      </c>
      <c r="AU18" s="97">
        <f>기업44!L20</f>
        <v>0</v>
      </c>
      <c r="AV18" s="97">
        <f>기업45!L20</f>
        <v>0</v>
      </c>
      <c r="AW18" s="97">
        <f>기업46!L20</f>
        <v>0</v>
      </c>
      <c r="AX18" s="97">
        <f>기업47!L20</f>
        <v>0</v>
      </c>
      <c r="AY18" s="97">
        <f>기업48!L20</f>
        <v>0</v>
      </c>
      <c r="AZ18" s="97">
        <f>기업49!L20</f>
        <v>0</v>
      </c>
      <c r="BA18" s="97">
        <f>기업50!L20</f>
        <v>0</v>
      </c>
      <c r="BB18" s="34">
        <f t="shared" si="2"/>
        <v>25439232</v>
      </c>
    </row>
    <row r="19" spans="1:54" ht="15.75" customHeight="1" x14ac:dyDescent="0.25">
      <c r="A19" s="83"/>
      <c r="B19" s="83"/>
      <c r="C19" s="29" t="s">
        <v>81</v>
      </c>
      <c r="D19" s="97">
        <f>기업01!L21</f>
        <v>0</v>
      </c>
      <c r="E19" s="97">
        <f>기업02!L21</f>
        <v>0</v>
      </c>
      <c r="F19" s="97">
        <f>기업03!L21</f>
        <v>0</v>
      </c>
      <c r="G19" s="97">
        <f>기업04!L21</f>
        <v>0</v>
      </c>
      <c r="H19" s="97">
        <f>기업05!L21</f>
        <v>0</v>
      </c>
      <c r="I19" s="97">
        <f>기업06!L21</f>
        <v>0</v>
      </c>
      <c r="J19" s="97">
        <f>기업07!L21</f>
        <v>0</v>
      </c>
      <c r="K19" s="97">
        <f>기업08!L21</f>
        <v>0</v>
      </c>
      <c r="L19" s="97">
        <f>기업09!L21</f>
        <v>0</v>
      </c>
      <c r="M19" s="97">
        <f>기업10!L21</f>
        <v>0</v>
      </c>
      <c r="N19" s="97">
        <f>기업11!L21</f>
        <v>0</v>
      </c>
      <c r="O19" s="97">
        <f>기업12!L21</f>
        <v>0</v>
      </c>
      <c r="P19" s="97">
        <f>기업13!L21</f>
        <v>0</v>
      </c>
      <c r="Q19" s="97">
        <f>기업14!L21</f>
        <v>0</v>
      </c>
      <c r="R19" s="97">
        <f>기업15!L21</f>
        <v>0</v>
      </c>
      <c r="S19" s="97">
        <f>기업16!L21</f>
        <v>0</v>
      </c>
      <c r="T19" s="97">
        <f>기업17!L21</f>
        <v>0</v>
      </c>
      <c r="U19" s="97">
        <f>기업18!L21</f>
        <v>0</v>
      </c>
      <c r="V19" s="97">
        <f>기업19!L21</f>
        <v>0</v>
      </c>
      <c r="W19" s="97">
        <f>기업20!L21</f>
        <v>0</v>
      </c>
      <c r="X19" s="97">
        <f>기업21!L21</f>
        <v>0</v>
      </c>
      <c r="Y19" s="97">
        <f>기업22!L21</f>
        <v>0</v>
      </c>
      <c r="Z19" s="97">
        <f>기업23!L21</f>
        <v>0</v>
      </c>
      <c r="AA19" s="97">
        <f>기업24!L21</f>
        <v>0</v>
      </c>
      <c r="AB19" s="97">
        <f>기업25!L21</f>
        <v>0</v>
      </c>
      <c r="AC19" s="97">
        <f>기업26!L21</f>
        <v>0</v>
      </c>
      <c r="AD19" s="97">
        <f>기업27!L21</f>
        <v>0</v>
      </c>
      <c r="AE19" s="97">
        <f>기업28!L21</f>
        <v>0</v>
      </c>
      <c r="AF19" s="97">
        <f>기업29!L21</f>
        <v>0</v>
      </c>
      <c r="AG19" s="97">
        <f>기업30!L21</f>
        <v>0</v>
      </c>
      <c r="AH19" s="97">
        <f>기업31!L21</f>
        <v>0</v>
      </c>
      <c r="AI19" s="97">
        <f>기업32!L21</f>
        <v>0</v>
      </c>
      <c r="AJ19" s="97">
        <f>기업33!L21</f>
        <v>0</v>
      </c>
      <c r="AK19" s="97">
        <f>기업34!L21</f>
        <v>0</v>
      </c>
      <c r="AL19" s="97">
        <f>기업35!L21</f>
        <v>0</v>
      </c>
      <c r="AM19" s="97">
        <f>기업36!L21</f>
        <v>0</v>
      </c>
      <c r="AN19" s="97">
        <f>기업37!L21</f>
        <v>0</v>
      </c>
      <c r="AO19" s="97">
        <f>기업38!L21</f>
        <v>0</v>
      </c>
      <c r="AP19" s="97">
        <f>기업39!L21</f>
        <v>0</v>
      </c>
      <c r="AQ19" s="97">
        <f>기업40!L21</f>
        <v>0</v>
      </c>
      <c r="AR19" s="97">
        <f>기업41!L21</f>
        <v>0</v>
      </c>
      <c r="AS19" s="97">
        <f>기업42!L21</f>
        <v>0</v>
      </c>
      <c r="AT19" s="97">
        <f>기업43!L21</f>
        <v>0</v>
      </c>
      <c r="AU19" s="24">
        <f>기업44!L21</f>
        <v>3634176</v>
      </c>
      <c r="AV19" s="24">
        <f>기업45!L21</f>
        <v>7268352</v>
      </c>
      <c r="AW19" s="24">
        <f>기업46!L21</f>
        <v>7268352</v>
      </c>
      <c r="AX19" s="24">
        <f>기업47!L21</f>
        <v>7268352</v>
      </c>
      <c r="AY19" s="24">
        <f>기업48!L21</f>
        <v>7268352</v>
      </c>
      <c r="AZ19" s="24">
        <f>기업49!L21</f>
        <v>7268352</v>
      </c>
      <c r="BA19" s="24">
        <f>기업50!L21</f>
        <v>3634176</v>
      </c>
      <c r="BB19" s="34">
        <f t="shared" si="2"/>
        <v>43610112</v>
      </c>
    </row>
    <row r="20" spans="1:54" ht="15.75" customHeight="1" x14ac:dyDescent="0.25">
      <c r="A20" s="81">
        <v>5</v>
      </c>
      <c r="B20" s="82" t="s">
        <v>22</v>
      </c>
      <c r="C20" s="26" t="s">
        <v>80</v>
      </c>
      <c r="D20" s="23">
        <f>기업01!L22</f>
        <v>0</v>
      </c>
      <c r="E20" s="23">
        <f>기업02!L22</f>
        <v>16164136.799999999</v>
      </c>
      <c r="F20" s="23">
        <f>기업03!L22</f>
        <v>16164136.799999999</v>
      </c>
      <c r="G20" s="23">
        <f>기업04!L22</f>
        <v>16164136.799999999</v>
      </c>
      <c r="H20" s="23">
        <f>기업05!L22</f>
        <v>16164136.799999999</v>
      </c>
      <c r="I20" s="23">
        <f>기업06!L22</f>
        <v>16164136.799999999</v>
      </c>
      <c r="J20" s="23">
        <f>기업07!L22</f>
        <v>16164136.799999999</v>
      </c>
      <c r="K20" s="23">
        <f>기업08!L22</f>
        <v>16164136.799999999</v>
      </c>
      <c r="L20" s="23">
        <f>기업09!L22</f>
        <v>16164136.799999999</v>
      </c>
      <c r="M20" s="23">
        <f>기업10!L22</f>
        <v>32328273.599999998</v>
      </c>
      <c r="N20" s="23">
        <f>기업11!L22</f>
        <v>32328273.599999998</v>
      </c>
      <c r="O20" s="23">
        <f>기업12!L22</f>
        <v>32328273.599999998</v>
      </c>
      <c r="P20" s="23">
        <f>기업13!L22</f>
        <v>0</v>
      </c>
      <c r="Q20" s="23">
        <f>기업14!L22</f>
        <v>0</v>
      </c>
      <c r="R20" s="23">
        <f>기업15!L22</f>
        <v>0</v>
      </c>
      <c r="S20" s="23">
        <f>기업16!L22</f>
        <v>0</v>
      </c>
      <c r="T20" s="23">
        <f>기업17!L22</f>
        <v>0</v>
      </c>
      <c r="U20" s="23">
        <f>기업18!L22</f>
        <v>0</v>
      </c>
      <c r="V20" s="23">
        <f>기업19!L22</f>
        <v>0</v>
      </c>
      <c r="W20" s="23">
        <f>기업20!L22</f>
        <v>0</v>
      </c>
      <c r="X20" s="23">
        <f>기업21!L22</f>
        <v>0</v>
      </c>
      <c r="Y20" s="23">
        <f>기업22!L22</f>
        <v>0</v>
      </c>
      <c r="Z20" s="23">
        <f>기업23!L22</f>
        <v>0</v>
      </c>
      <c r="AA20" s="23">
        <f>기업24!L22</f>
        <v>0</v>
      </c>
      <c r="AB20" s="23">
        <f>기업25!L22</f>
        <v>0</v>
      </c>
      <c r="AC20" s="23">
        <f>기업26!L22</f>
        <v>0</v>
      </c>
      <c r="AD20" s="23">
        <f>기업27!L22</f>
        <v>0</v>
      </c>
      <c r="AE20" s="23">
        <f>기업28!L22</f>
        <v>0</v>
      </c>
      <c r="AF20" s="23">
        <f>기업29!L22</f>
        <v>0</v>
      </c>
      <c r="AG20" s="23">
        <f>기업30!L22</f>
        <v>0</v>
      </c>
      <c r="AH20" s="23">
        <f>기업31!L22</f>
        <v>0</v>
      </c>
      <c r="AI20" s="23">
        <f>기업32!L22</f>
        <v>0</v>
      </c>
      <c r="AJ20" s="23">
        <f>기업33!L22</f>
        <v>0</v>
      </c>
      <c r="AK20" s="23">
        <f>기업34!L22</f>
        <v>0</v>
      </c>
      <c r="AL20" s="23">
        <f>기업35!L22</f>
        <v>0</v>
      </c>
      <c r="AM20" s="23">
        <f>기업36!L22</f>
        <v>0</v>
      </c>
      <c r="AN20" s="96">
        <f>기업37!L22</f>
        <v>0</v>
      </c>
      <c r="AO20" s="96">
        <f>기업38!L22</f>
        <v>0</v>
      </c>
      <c r="AP20" s="96">
        <f>기업39!L22</f>
        <v>0</v>
      </c>
      <c r="AQ20" s="96">
        <f>기업40!L22</f>
        <v>0</v>
      </c>
      <c r="AR20" s="96">
        <f>기업41!L22</f>
        <v>0</v>
      </c>
      <c r="AS20" s="96">
        <f>기업42!L22</f>
        <v>0</v>
      </c>
      <c r="AT20" s="96">
        <f>기업43!L22</f>
        <v>0</v>
      </c>
      <c r="AU20" s="96">
        <f>기업44!L22</f>
        <v>0</v>
      </c>
      <c r="AV20" s="96">
        <f>기업45!L22</f>
        <v>0</v>
      </c>
      <c r="AW20" s="96">
        <f>기업46!L22</f>
        <v>0</v>
      </c>
      <c r="AX20" s="96">
        <f>기업47!L22</f>
        <v>0</v>
      </c>
      <c r="AY20" s="96">
        <f>기업48!L22</f>
        <v>0</v>
      </c>
      <c r="AZ20" s="96">
        <f>기업49!L22</f>
        <v>0</v>
      </c>
      <c r="BA20" s="96">
        <f>기업50!L22</f>
        <v>0</v>
      </c>
      <c r="BB20" s="34">
        <f t="shared" si="2"/>
        <v>226297915.19999999</v>
      </c>
    </row>
    <row r="21" spans="1:54" ht="15.75" customHeight="1" x14ac:dyDescent="0.25">
      <c r="A21" s="81"/>
      <c r="B21" s="81"/>
      <c r="C21" s="28" t="s">
        <v>38</v>
      </c>
      <c r="D21" s="96">
        <f>기업01!L23</f>
        <v>0</v>
      </c>
      <c r="E21" s="96">
        <f>기업02!L23</f>
        <v>0</v>
      </c>
      <c r="F21" s="96">
        <f>기업03!L23</f>
        <v>0</v>
      </c>
      <c r="G21" s="96">
        <f>기업04!L23</f>
        <v>0</v>
      </c>
      <c r="H21" s="96">
        <f>기업05!L23</f>
        <v>0</v>
      </c>
      <c r="I21" s="96">
        <f>기업06!L23</f>
        <v>0</v>
      </c>
      <c r="J21" s="96">
        <f>기업07!L23</f>
        <v>0</v>
      </c>
      <c r="K21" s="96">
        <f>기업08!L23</f>
        <v>0</v>
      </c>
      <c r="L21" s="96">
        <f>기업09!L23</f>
        <v>0</v>
      </c>
      <c r="M21" s="96">
        <f>기업10!L23</f>
        <v>0</v>
      </c>
      <c r="N21" s="96">
        <f>기업11!L23</f>
        <v>0</v>
      </c>
      <c r="O21" s="96">
        <f>기업12!L23</f>
        <v>0</v>
      </c>
      <c r="P21" s="96">
        <f>기업13!L23</f>
        <v>0</v>
      </c>
      <c r="Q21" s="96">
        <f>기업14!L23</f>
        <v>0</v>
      </c>
      <c r="R21" s="96">
        <f>기업15!L23</f>
        <v>0</v>
      </c>
      <c r="S21" s="96">
        <f>기업16!L23</f>
        <v>0</v>
      </c>
      <c r="T21" s="96">
        <f>기업17!L23</f>
        <v>0</v>
      </c>
      <c r="U21" s="96">
        <f>기업18!L23</f>
        <v>0</v>
      </c>
      <c r="V21" s="96">
        <f>기업19!L23</f>
        <v>0</v>
      </c>
      <c r="W21" s="96">
        <f>기업20!L23</f>
        <v>0</v>
      </c>
      <c r="X21" s="96">
        <f>기업21!L23</f>
        <v>0</v>
      </c>
      <c r="Y21" s="96">
        <f>기업22!L23</f>
        <v>0</v>
      </c>
      <c r="Z21" s="96">
        <f>기업23!L23</f>
        <v>0</v>
      </c>
      <c r="AA21" s="96">
        <f>기업24!L23</f>
        <v>0</v>
      </c>
      <c r="AB21" s="96">
        <f>기업25!L23</f>
        <v>0</v>
      </c>
      <c r="AC21" s="96">
        <f>기업26!L23</f>
        <v>0</v>
      </c>
      <c r="AD21" s="96">
        <f>기업27!L23</f>
        <v>0</v>
      </c>
      <c r="AE21" s="96">
        <f>기업28!L23</f>
        <v>0</v>
      </c>
      <c r="AF21" s="96">
        <f>기업29!L23</f>
        <v>0</v>
      </c>
      <c r="AG21" s="96">
        <f>기업30!L23</f>
        <v>0</v>
      </c>
      <c r="AH21" s="96">
        <f>기업31!L23</f>
        <v>0</v>
      </c>
      <c r="AI21" s="96">
        <f>기업32!L23</f>
        <v>0</v>
      </c>
      <c r="AJ21" s="96">
        <f>기업33!L23</f>
        <v>0</v>
      </c>
      <c r="AK21" s="96">
        <f>기업34!L23</f>
        <v>0</v>
      </c>
      <c r="AL21" s="96">
        <f>기업35!L23</f>
        <v>0</v>
      </c>
      <c r="AM21" s="96">
        <f>기업36!L23</f>
        <v>0</v>
      </c>
      <c r="AN21" s="23">
        <f>기업37!L23</f>
        <v>0</v>
      </c>
      <c r="AO21" s="23">
        <f>기업38!L23</f>
        <v>0</v>
      </c>
      <c r="AP21" s="23">
        <f>기업39!L23</f>
        <v>0</v>
      </c>
      <c r="AQ21" s="23">
        <f>기업40!L23</f>
        <v>0</v>
      </c>
      <c r="AR21" s="23">
        <f>기업41!L23</f>
        <v>3463743.6</v>
      </c>
      <c r="AS21" s="23">
        <f>기업42!L23</f>
        <v>3463743.6</v>
      </c>
      <c r="AT21" s="23">
        <f>기업43!L23</f>
        <v>3463743.6</v>
      </c>
      <c r="AU21" s="96">
        <f>기업44!L23</f>
        <v>0</v>
      </c>
      <c r="AV21" s="96">
        <f>기업45!L23</f>
        <v>0</v>
      </c>
      <c r="AW21" s="96">
        <f>기업46!L23</f>
        <v>0</v>
      </c>
      <c r="AX21" s="96">
        <f>기업47!L23</f>
        <v>0</v>
      </c>
      <c r="AY21" s="96">
        <f>기업48!L23</f>
        <v>0</v>
      </c>
      <c r="AZ21" s="96">
        <f>기업49!L23</f>
        <v>0</v>
      </c>
      <c r="BA21" s="96">
        <f>기업50!L23</f>
        <v>0</v>
      </c>
      <c r="BB21" s="34">
        <f t="shared" si="2"/>
        <v>10391230.800000001</v>
      </c>
    </row>
    <row r="22" spans="1:54" ht="15.75" customHeight="1" x14ac:dyDescent="0.25">
      <c r="A22" s="81"/>
      <c r="B22" s="81"/>
      <c r="C22" s="29" t="s">
        <v>81</v>
      </c>
      <c r="D22" s="96">
        <f>기업01!L24</f>
        <v>0</v>
      </c>
      <c r="E22" s="96">
        <f>기업02!L24</f>
        <v>0</v>
      </c>
      <c r="F22" s="96">
        <f>기업03!L24</f>
        <v>0</v>
      </c>
      <c r="G22" s="96">
        <f>기업04!L24</f>
        <v>0</v>
      </c>
      <c r="H22" s="96">
        <f>기업05!L24</f>
        <v>0</v>
      </c>
      <c r="I22" s="96">
        <f>기업06!L24</f>
        <v>0</v>
      </c>
      <c r="J22" s="96">
        <f>기업07!L24</f>
        <v>0</v>
      </c>
      <c r="K22" s="96">
        <f>기업08!L24</f>
        <v>0</v>
      </c>
      <c r="L22" s="96">
        <f>기업09!L24</f>
        <v>0</v>
      </c>
      <c r="M22" s="96">
        <f>기업10!L24</f>
        <v>0</v>
      </c>
      <c r="N22" s="96">
        <f>기업11!L24</f>
        <v>0</v>
      </c>
      <c r="O22" s="96">
        <f>기업12!L24</f>
        <v>0</v>
      </c>
      <c r="P22" s="96">
        <f>기업13!L24</f>
        <v>0</v>
      </c>
      <c r="Q22" s="96">
        <f>기업14!L24</f>
        <v>0</v>
      </c>
      <c r="R22" s="96">
        <f>기업15!L24</f>
        <v>0</v>
      </c>
      <c r="S22" s="96">
        <f>기업16!L24</f>
        <v>0</v>
      </c>
      <c r="T22" s="96">
        <f>기업17!L24</f>
        <v>0</v>
      </c>
      <c r="U22" s="96">
        <f>기업18!L24</f>
        <v>0</v>
      </c>
      <c r="V22" s="96">
        <f>기업19!L24</f>
        <v>0</v>
      </c>
      <c r="W22" s="96">
        <f>기업20!L24</f>
        <v>0</v>
      </c>
      <c r="X22" s="96">
        <f>기업21!L24</f>
        <v>0</v>
      </c>
      <c r="Y22" s="96">
        <f>기업22!L24</f>
        <v>0</v>
      </c>
      <c r="Z22" s="96">
        <f>기업23!L24</f>
        <v>0</v>
      </c>
      <c r="AA22" s="96">
        <f>기업24!L24</f>
        <v>0</v>
      </c>
      <c r="AB22" s="96">
        <f>기업25!L24</f>
        <v>0</v>
      </c>
      <c r="AC22" s="96">
        <f>기업26!L24</f>
        <v>0</v>
      </c>
      <c r="AD22" s="96">
        <f>기업27!L24</f>
        <v>0</v>
      </c>
      <c r="AE22" s="96">
        <f>기업28!L24</f>
        <v>0</v>
      </c>
      <c r="AF22" s="96">
        <f>기업29!L24</f>
        <v>0</v>
      </c>
      <c r="AG22" s="96">
        <f>기업30!L24</f>
        <v>0</v>
      </c>
      <c r="AH22" s="96">
        <f>기업31!L24</f>
        <v>0</v>
      </c>
      <c r="AI22" s="96">
        <f>기업32!L24</f>
        <v>0</v>
      </c>
      <c r="AJ22" s="96">
        <f>기업33!L24</f>
        <v>0</v>
      </c>
      <c r="AK22" s="96">
        <f>기업34!L24</f>
        <v>0</v>
      </c>
      <c r="AL22" s="96">
        <f>기업35!L24</f>
        <v>0</v>
      </c>
      <c r="AM22" s="96">
        <f>기업36!L24</f>
        <v>0</v>
      </c>
      <c r="AN22" s="96">
        <f>기업37!L24</f>
        <v>0</v>
      </c>
      <c r="AO22" s="96">
        <f>기업38!L24</f>
        <v>0</v>
      </c>
      <c r="AP22" s="96">
        <f>기업39!L24</f>
        <v>0</v>
      </c>
      <c r="AQ22" s="96">
        <f>기업40!L24</f>
        <v>0</v>
      </c>
      <c r="AR22" s="96">
        <f>기업41!L24</f>
        <v>0</v>
      </c>
      <c r="AS22" s="96">
        <f>기업42!L24</f>
        <v>0</v>
      </c>
      <c r="AT22" s="96">
        <f>기업43!L24</f>
        <v>0</v>
      </c>
      <c r="AU22" s="23">
        <f>기업44!L24</f>
        <v>3463743.6</v>
      </c>
      <c r="AV22" s="23">
        <f>기업45!L24</f>
        <v>3463743.6</v>
      </c>
      <c r="AW22" s="23">
        <f>기업46!L24</f>
        <v>3463743.6</v>
      </c>
      <c r="AX22" s="23">
        <f>기업47!L24</f>
        <v>3463743.6</v>
      </c>
      <c r="AY22" s="23">
        <f>기업48!L24</f>
        <v>3463743.6</v>
      </c>
      <c r="AZ22" s="23">
        <f>기업49!L24</f>
        <v>3463743.6</v>
      </c>
      <c r="BA22" s="23">
        <f>기업50!L24</f>
        <v>3463743.6</v>
      </c>
      <c r="BB22" s="34">
        <f t="shared" si="2"/>
        <v>24246205.200000003</v>
      </c>
    </row>
    <row r="23" spans="1:54" ht="15.75" customHeight="1" x14ac:dyDescent="0.25">
      <c r="A23" s="83">
        <v>6</v>
      </c>
      <c r="B23" s="84" t="s">
        <v>23</v>
      </c>
      <c r="C23" s="26" t="s">
        <v>80</v>
      </c>
      <c r="D23" s="24">
        <f>기업01!L25</f>
        <v>0</v>
      </c>
      <c r="E23" s="24">
        <f>기업02!L25</f>
        <v>53035916.5</v>
      </c>
      <c r="F23" s="24">
        <f>기업03!L25</f>
        <v>53035916.5</v>
      </c>
      <c r="G23" s="24">
        <f>기업04!L25</f>
        <v>53035916.5</v>
      </c>
      <c r="H23" s="24">
        <f>기업05!L25</f>
        <v>53035916.5</v>
      </c>
      <c r="I23" s="24">
        <f>기업06!L25</f>
        <v>53035916.5</v>
      </c>
      <c r="J23" s="24">
        <f>기업07!L25</f>
        <v>53035916.5</v>
      </c>
      <c r="K23" s="24">
        <f>기업08!L25</f>
        <v>53035916.5</v>
      </c>
      <c r="L23" s="24">
        <f>기업09!L25</f>
        <v>53035916.5</v>
      </c>
      <c r="M23" s="24">
        <f>기업10!L25</f>
        <v>53035916.5</v>
      </c>
      <c r="N23" s="24">
        <f>기업11!L25</f>
        <v>53035916.5</v>
      </c>
      <c r="O23" s="24">
        <f>기업12!L25</f>
        <v>53035916.5</v>
      </c>
      <c r="P23" s="24">
        <f>기업13!L25</f>
        <v>53035916.5</v>
      </c>
      <c r="Q23" s="24">
        <f>기업14!L25</f>
        <v>53035916.5</v>
      </c>
      <c r="R23" s="24">
        <f>기업15!L25</f>
        <v>53035916.5</v>
      </c>
      <c r="S23" s="24">
        <f>기업16!L25</f>
        <v>53035916.5</v>
      </c>
      <c r="T23" s="24">
        <f>기업17!L25</f>
        <v>53035916.5</v>
      </c>
      <c r="U23" s="24">
        <f>기업18!L25</f>
        <v>53035916.5</v>
      </c>
      <c r="V23" s="24">
        <f>기업19!L25</f>
        <v>53035916.5</v>
      </c>
      <c r="W23" s="24">
        <f>기업20!L25</f>
        <v>53035916.5</v>
      </c>
      <c r="X23" s="24">
        <f>기업21!L25</f>
        <v>53035916.5</v>
      </c>
      <c r="Y23" s="24">
        <f>기업22!L25</f>
        <v>53035916.5</v>
      </c>
      <c r="Z23" s="24">
        <f>기업23!L25</f>
        <v>53035916.5</v>
      </c>
      <c r="AA23" s="24">
        <f>기업24!L25</f>
        <v>53035916.5</v>
      </c>
      <c r="AB23" s="24">
        <f>기업25!L25</f>
        <v>53035916.5</v>
      </c>
      <c r="AC23" s="24">
        <f>기업26!L25</f>
        <v>53035916.5</v>
      </c>
      <c r="AD23" s="24">
        <f>기업27!L25</f>
        <v>53035916.5</v>
      </c>
      <c r="AE23" s="24">
        <f>기업28!L25</f>
        <v>53035916.5</v>
      </c>
      <c r="AF23" s="24">
        <f>기업29!L25</f>
        <v>53035916.5</v>
      </c>
      <c r="AG23" s="24">
        <f>기업30!L25</f>
        <v>53035916.5</v>
      </c>
      <c r="AH23" s="24">
        <f>기업31!L25</f>
        <v>53035916.5</v>
      </c>
      <c r="AI23" s="24">
        <f>기업32!L25</f>
        <v>53035916.5</v>
      </c>
      <c r="AJ23" s="24">
        <f>기업33!L25</f>
        <v>53035916.5</v>
      </c>
      <c r="AK23" s="24">
        <f>기업34!L25</f>
        <v>53035916.5</v>
      </c>
      <c r="AL23" s="24">
        <f>기업35!L25</f>
        <v>53035916.5</v>
      </c>
      <c r="AM23" s="24">
        <f>기업36!L25</f>
        <v>53035916.5</v>
      </c>
      <c r="AN23" s="97">
        <f>기업37!L25</f>
        <v>0</v>
      </c>
      <c r="AO23" s="97">
        <f>기업38!L25</f>
        <v>0</v>
      </c>
      <c r="AP23" s="97">
        <f>기업39!L25</f>
        <v>0</v>
      </c>
      <c r="AQ23" s="97">
        <f>기업40!L25</f>
        <v>0</v>
      </c>
      <c r="AR23" s="97">
        <f>기업41!L25</f>
        <v>0</v>
      </c>
      <c r="AS23" s="97">
        <f>기업42!L25</f>
        <v>0</v>
      </c>
      <c r="AT23" s="97">
        <f>기업43!L25</f>
        <v>0</v>
      </c>
      <c r="AU23" s="97">
        <f>기업44!L25</f>
        <v>0</v>
      </c>
      <c r="AV23" s="97">
        <f>기업45!L25</f>
        <v>0</v>
      </c>
      <c r="AW23" s="97">
        <f>기업46!L25</f>
        <v>0</v>
      </c>
      <c r="AX23" s="97">
        <f>기업47!L25</f>
        <v>0</v>
      </c>
      <c r="AY23" s="97">
        <f>기업48!L25</f>
        <v>0</v>
      </c>
      <c r="AZ23" s="97">
        <f>기업49!L25</f>
        <v>0</v>
      </c>
      <c r="BA23" s="97">
        <f>기업50!L25</f>
        <v>0</v>
      </c>
      <c r="BB23" s="34">
        <f t="shared" si="2"/>
        <v>1856257077.5</v>
      </c>
    </row>
    <row r="24" spans="1:54" ht="15.75" customHeight="1" x14ac:dyDescent="0.25">
      <c r="A24" s="83"/>
      <c r="B24" s="83"/>
      <c r="C24" s="28" t="s">
        <v>38</v>
      </c>
      <c r="D24" s="97">
        <f>기업01!L26</f>
        <v>0</v>
      </c>
      <c r="E24" s="97">
        <f>기업02!L26</f>
        <v>0</v>
      </c>
      <c r="F24" s="97">
        <f>기업03!L26</f>
        <v>0</v>
      </c>
      <c r="G24" s="97">
        <f>기업04!L26</f>
        <v>0</v>
      </c>
      <c r="H24" s="97">
        <f>기업05!L26</f>
        <v>0</v>
      </c>
      <c r="I24" s="97">
        <f>기업06!L26</f>
        <v>0</v>
      </c>
      <c r="J24" s="97">
        <f>기업07!L26</f>
        <v>0</v>
      </c>
      <c r="K24" s="97">
        <f>기업08!L26</f>
        <v>0</v>
      </c>
      <c r="L24" s="97">
        <f>기업09!L26</f>
        <v>0</v>
      </c>
      <c r="M24" s="97">
        <f>기업10!L26</f>
        <v>0</v>
      </c>
      <c r="N24" s="97">
        <f>기업11!L26</f>
        <v>0</v>
      </c>
      <c r="O24" s="97">
        <f>기업12!L26</f>
        <v>0</v>
      </c>
      <c r="P24" s="97">
        <f>기업13!L26</f>
        <v>0</v>
      </c>
      <c r="Q24" s="97">
        <f>기업14!L26</f>
        <v>0</v>
      </c>
      <c r="R24" s="97">
        <f>기업15!L26</f>
        <v>0</v>
      </c>
      <c r="S24" s="97">
        <f>기업16!L26</f>
        <v>0</v>
      </c>
      <c r="T24" s="97">
        <f>기업17!L26</f>
        <v>0</v>
      </c>
      <c r="U24" s="97">
        <f>기업18!L26</f>
        <v>0</v>
      </c>
      <c r="V24" s="97">
        <f>기업19!L26</f>
        <v>0</v>
      </c>
      <c r="W24" s="97">
        <f>기업20!L26</f>
        <v>0</v>
      </c>
      <c r="X24" s="97">
        <f>기업21!L26</f>
        <v>0</v>
      </c>
      <c r="Y24" s="97">
        <f>기업22!L26</f>
        <v>0</v>
      </c>
      <c r="Z24" s="97">
        <f>기업23!L26</f>
        <v>0</v>
      </c>
      <c r="AA24" s="97">
        <f>기업24!L26</f>
        <v>0</v>
      </c>
      <c r="AB24" s="97">
        <f>기업25!L26</f>
        <v>0</v>
      </c>
      <c r="AC24" s="97">
        <f>기업26!L26</f>
        <v>0</v>
      </c>
      <c r="AD24" s="97">
        <f>기업27!L26</f>
        <v>0</v>
      </c>
      <c r="AE24" s="97">
        <f>기업28!L26</f>
        <v>0</v>
      </c>
      <c r="AF24" s="97">
        <f>기업29!L26</f>
        <v>0</v>
      </c>
      <c r="AG24" s="97">
        <f>기업30!L26</f>
        <v>0</v>
      </c>
      <c r="AH24" s="97">
        <f>기업31!L26</f>
        <v>0</v>
      </c>
      <c r="AI24" s="97">
        <f>기업32!L26</f>
        <v>0</v>
      </c>
      <c r="AJ24" s="97">
        <f>기업33!L26</f>
        <v>0</v>
      </c>
      <c r="AK24" s="97">
        <f>기업34!L26</f>
        <v>0</v>
      </c>
      <c r="AL24" s="97">
        <f>기업35!L26</f>
        <v>0</v>
      </c>
      <c r="AM24" s="97">
        <f>기업36!L26</f>
        <v>0</v>
      </c>
      <c r="AN24" s="24">
        <f>기업37!L26</f>
        <v>11364839.25</v>
      </c>
      <c r="AO24" s="24">
        <f>기업38!L26</f>
        <v>11364839.25</v>
      </c>
      <c r="AP24" s="24">
        <f>기업39!L26</f>
        <v>11364839.25</v>
      </c>
      <c r="AQ24" s="24">
        <f>기업40!L26</f>
        <v>11364839.25</v>
      </c>
      <c r="AR24" s="24">
        <f>기업41!L26</f>
        <v>11364839.25</v>
      </c>
      <c r="AS24" s="24">
        <f>기업42!L26</f>
        <v>11364839.25</v>
      </c>
      <c r="AT24" s="24">
        <f>기업43!L26</f>
        <v>11364839.25</v>
      </c>
      <c r="AU24" s="97">
        <f>기업44!L26</f>
        <v>0</v>
      </c>
      <c r="AV24" s="97">
        <f>기업45!L26</f>
        <v>0</v>
      </c>
      <c r="AW24" s="97">
        <f>기업46!L26</f>
        <v>0</v>
      </c>
      <c r="AX24" s="97">
        <f>기업47!L26</f>
        <v>0</v>
      </c>
      <c r="AY24" s="97">
        <f>기업48!L26</f>
        <v>0</v>
      </c>
      <c r="AZ24" s="97">
        <f>기업49!L26</f>
        <v>0</v>
      </c>
      <c r="BA24" s="97">
        <f>기업50!L26</f>
        <v>0</v>
      </c>
      <c r="BB24" s="34">
        <f t="shared" si="2"/>
        <v>79553874.75</v>
      </c>
    </row>
    <row r="25" spans="1:54" ht="15.75" customHeight="1" x14ac:dyDescent="0.25">
      <c r="A25" s="83"/>
      <c r="B25" s="83"/>
      <c r="C25" s="29" t="s">
        <v>81</v>
      </c>
      <c r="D25" s="97">
        <f>기업01!L27</f>
        <v>0</v>
      </c>
      <c r="E25" s="97">
        <f>기업02!L27</f>
        <v>0</v>
      </c>
      <c r="F25" s="97">
        <f>기업03!L27</f>
        <v>0</v>
      </c>
      <c r="G25" s="97">
        <f>기업04!L27</f>
        <v>0</v>
      </c>
      <c r="H25" s="97">
        <f>기업05!L27</f>
        <v>0</v>
      </c>
      <c r="I25" s="97">
        <f>기업06!L27</f>
        <v>0</v>
      </c>
      <c r="J25" s="97">
        <f>기업07!L27</f>
        <v>0</v>
      </c>
      <c r="K25" s="97">
        <f>기업08!L27</f>
        <v>0</v>
      </c>
      <c r="L25" s="97">
        <f>기업09!L27</f>
        <v>0</v>
      </c>
      <c r="M25" s="97">
        <f>기업10!L27</f>
        <v>0</v>
      </c>
      <c r="N25" s="97">
        <f>기업11!L27</f>
        <v>0</v>
      </c>
      <c r="O25" s="97">
        <f>기업12!L27</f>
        <v>0</v>
      </c>
      <c r="P25" s="97">
        <f>기업13!L27</f>
        <v>0</v>
      </c>
      <c r="Q25" s="97">
        <f>기업14!L27</f>
        <v>0</v>
      </c>
      <c r="R25" s="97">
        <f>기업15!L27</f>
        <v>0</v>
      </c>
      <c r="S25" s="97">
        <f>기업16!L27</f>
        <v>0</v>
      </c>
      <c r="T25" s="97">
        <f>기업17!L27</f>
        <v>0</v>
      </c>
      <c r="U25" s="97">
        <f>기업18!L27</f>
        <v>0</v>
      </c>
      <c r="V25" s="97">
        <f>기업19!L27</f>
        <v>0</v>
      </c>
      <c r="W25" s="97">
        <f>기업20!L27</f>
        <v>0</v>
      </c>
      <c r="X25" s="97">
        <f>기업21!L27</f>
        <v>0</v>
      </c>
      <c r="Y25" s="97">
        <f>기업22!L27</f>
        <v>0</v>
      </c>
      <c r="Z25" s="97">
        <f>기업23!L27</f>
        <v>0</v>
      </c>
      <c r="AA25" s="97">
        <f>기업24!L27</f>
        <v>0</v>
      </c>
      <c r="AB25" s="97">
        <f>기업25!L27</f>
        <v>0</v>
      </c>
      <c r="AC25" s="97">
        <f>기업26!L27</f>
        <v>0</v>
      </c>
      <c r="AD25" s="97">
        <f>기업27!L27</f>
        <v>0</v>
      </c>
      <c r="AE25" s="97">
        <f>기업28!L27</f>
        <v>0</v>
      </c>
      <c r="AF25" s="97">
        <f>기업29!L27</f>
        <v>0</v>
      </c>
      <c r="AG25" s="97">
        <f>기업30!L27</f>
        <v>0</v>
      </c>
      <c r="AH25" s="97">
        <f>기업31!L27</f>
        <v>0</v>
      </c>
      <c r="AI25" s="97">
        <f>기업32!L27</f>
        <v>0</v>
      </c>
      <c r="AJ25" s="97">
        <f>기업33!L27</f>
        <v>0</v>
      </c>
      <c r="AK25" s="97">
        <f>기업34!L27</f>
        <v>0</v>
      </c>
      <c r="AL25" s="97">
        <f>기업35!L27</f>
        <v>0</v>
      </c>
      <c r="AM25" s="97">
        <f>기업36!L27</f>
        <v>0</v>
      </c>
      <c r="AN25" s="97">
        <f>기업37!L27</f>
        <v>0</v>
      </c>
      <c r="AO25" s="97">
        <f>기업38!L27</f>
        <v>0</v>
      </c>
      <c r="AP25" s="97">
        <f>기업39!L27</f>
        <v>0</v>
      </c>
      <c r="AQ25" s="97">
        <f>기업40!L27</f>
        <v>0</v>
      </c>
      <c r="AR25" s="97">
        <f>기업41!L27</f>
        <v>0</v>
      </c>
      <c r="AS25" s="97">
        <f>기업42!L27</f>
        <v>0</v>
      </c>
      <c r="AT25" s="97">
        <f>기업43!L27</f>
        <v>0</v>
      </c>
      <c r="AU25" s="24">
        <f>기업44!L27</f>
        <v>11364839.25</v>
      </c>
      <c r="AV25" s="24">
        <f>기업45!L27</f>
        <v>11364839.25</v>
      </c>
      <c r="AW25" s="24">
        <f>기업46!L27</f>
        <v>11364839.25</v>
      </c>
      <c r="AX25" s="24">
        <f>기업47!L27</f>
        <v>11364839.25</v>
      </c>
      <c r="AY25" s="24">
        <f>기업48!L27</f>
        <v>11364839.25</v>
      </c>
      <c r="AZ25" s="24">
        <f>기업49!L27</f>
        <v>11364839.25</v>
      </c>
      <c r="BA25" s="24">
        <f>기업50!L27</f>
        <v>11364839.25</v>
      </c>
      <c r="BB25" s="34">
        <f t="shared" si="2"/>
        <v>79553874.75</v>
      </c>
    </row>
    <row r="26" spans="1:54" ht="15.75" customHeight="1" x14ac:dyDescent="0.25">
      <c r="A26" s="81">
        <v>7</v>
      </c>
      <c r="B26" s="82" t="s">
        <v>24</v>
      </c>
      <c r="C26" s="26" t="s">
        <v>80</v>
      </c>
      <c r="D26" s="23">
        <f>기업01!L28</f>
        <v>0</v>
      </c>
      <c r="E26" s="23">
        <f>기업02!L28</f>
        <v>0</v>
      </c>
      <c r="F26" s="23">
        <f>기업03!L28</f>
        <v>0</v>
      </c>
      <c r="G26" s="23">
        <f>기업04!L28</f>
        <v>0</v>
      </c>
      <c r="H26" s="23">
        <f>기업05!L28</f>
        <v>0</v>
      </c>
      <c r="I26" s="23">
        <f>기업06!L28</f>
        <v>0</v>
      </c>
      <c r="J26" s="23">
        <f>기업07!L28</f>
        <v>0</v>
      </c>
      <c r="K26" s="23">
        <f>기업08!L28</f>
        <v>0</v>
      </c>
      <c r="L26" s="23">
        <f>기업09!L28</f>
        <v>0</v>
      </c>
      <c r="M26" s="23">
        <f>기업10!L28</f>
        <v>0</v>
      </c>
      <c r="N26" s="23">
        <f>기업11!L28</f>
        <v>0</v>
      </c>
      <c r="O26" s="23">
        <f>기업12!L28</f>
        <v>0</v>
      </c>
      <c r="P26" s="23">
        <f>기업13!L28</f>
        <v>0</v>
      </c>
      <c r="Q26" s="23">
        <f>기업14!L28</f>
        <v>0</v>
      </c>
      <c r="R26" s="23">
        <f>기업15!L28</f>
        <v>0</v>
      </c>
      <c r="S26" s="23">
        <f>기업16!L28</f>
        <v>0</v>
      </c>
      <c r="T26" s="23">
        <f>기업17!L28</f>
        <v>0</v>
      </c>
      <c r="U26" s="23">
        <f>기업18!L28</f>
        <v>0</v>
      </c>
      <c r="V26" s="23">
        <f>기업19!L28</f>
        <v>0</v>
      </c>
      <c r="W26" s="23">
        <f>기업20!L28</f>
        <v>0</v>
      </c>
      <c r="X26" s="23">
        <f>기업21!L28</f>
        <v>0</v>
      </c>
      <c r="Y26" s="23">
        <f>기업22!L28</f>
        <v>0</v>
      </c>
      <c r="Z26" s="23">
        <f>기업23!L28</f>
        <v>0</v>
      </c>
      <c r="AA26" s="23">
        <f>기업24!L28</f>
        <v>0</v>
      </c>
      <c r="AB26" s="23">
        <f>기업25!L28</f>
        <v>0</v>
      </c>
      <c r="AC26" s="23">
        <f>기업26!L28</f>
        <v>0</v>
      </c>
      <c r="AD26" s="23">
        <f>기업27!L28</f>
        <v>0</v>
      </c>
      <c r="AE26" s="23">
        <f>기업28!L28</f>
        <v>0</v>
      </c>
      <c r="AF26" s="23">
        <f>기업29!L28</f>
        <v>0</v>
      </c>
      <c r="AG26" s="23">
        <f>기업30!L28</f>
        <v>0</v>
      </c>
      <c r="AH26" s="23">
        <f>기업31!L28</f>
        <v>0</v>
      </c>
      <c r="AI26" s="23">
        <f>기업32!L28</f>
        <v>30144979.199999999</v>
      </c>
      <c r="AJ26" s="23">
        <f>기업33!L28</f>
        <v>30144979.199999999</v>
      </c>
      <c r="AK26" s="23">
        <f>기업34!L28</f>
        <v>30144979.199999999</v>
      </c>
      <c r="AL26" s="23">
        <f>기업35!L28</f>
        <v>30144979.199999999</v>
      </c>
      <c r="AM26" s="23">
        <f>기업36!L28</f>
        <v>30144979.199999999</v>
      </c>
      <c r="AN26" s="96">
        <f>기업37!L28</f>
        <v>0</v>
      </c>
      <c r="AO26" s="96">
        <f>기업38!L28</f>
        <v>0</v>
      </c>
      <c r="AP26" s="96">
        <f>기업39!L28</f>
        <v>0</v>
      </c>
      <c r="AQ26" s="96">
        <f>기업40!L28</f>
        <v>0</v>
      </c>
      <c r="AR26" s="96">
        <f>기업41!L28</f>
        <v>0</v>
      </c>
      <c r="AS26" s="96">
        <f>기업42!L28</f>
        <v>0</v>
      </c>
      <c r="AT26" s="96">
        <f>기업43!L28</f>
        <v>0</v>
      </c>
      <c r="AU26" s="96">
        <f>기업44!L28</f>
        <v>0</v>
      </c>
      <c r="AV26" s="96">
        <f>기업45!L28</f>
        <v>0</v>
      </c>
      <c r="AW26" s="96">
        <f>기업46!L28</f>
        <v>0</v>
      </c>
      <c r="AX26" s="96">
        <f>기업47!L28</f>
        <v>0</v>
      </c>
      <c r="AY26" s="96">
        <f>기업48!L28</f>
        <v>0</v>
      </c>
      <c r="AZ26" s="96">
        <f>기업49!L28</f>
        <v>0</v>
      </c>
      <c r="BA26" s="96">
        <f>기업50!L28</f>
        <v>0</v>
      </c>
      <c r="BB26" s="34">
        <f t="shared" si="2"/>
        <v>150724896</v>
      </c>
    </row>
    <row r="27" spans="1:54" ht="15.75" customHeight="1" x14ac:dyDescent="0.25">
      <c r="A27" s="81"/>
      <c r="B27" s="81"/>
      <c r="C27" s="28" t="s">
        <v>38</v>
      </c>
      <c r="D27" s="96">
        <f>기업01!L29</f>
        <v>0</v>
      </c>
      <c r="E27" s="96">
        <f>기업02!L29</f>
        <v>0</v>
      </c>
      <c r="F27" s="96">
        <f>기업03!L29</f>
        <v>0</v>
      </c>
      <c r="G27" s="96">
        <f>기업04!L29</f>
        <v>0</v>
      </c>
      <c r="H27" s="96">
        <f>기업05!L29</f>
        <v>0</v>
      </c>
      <c r="I27" s="96">
        <f>기업06!L29</f>
        <v>0</v>
      </c>
      <c r="J27" s="96">
        <f>기업07!L29</f>
        <v>0</v>
      </c>
      <c r="K27" s="96">
        <f>기업08!L29</f>
        <v>0</v>
      </c>
      <c r="L27" s="96">
        <f>기업09!L29</f>
        <v>0</v>
      </c>
      <c r="M27" s="96">
        <f>기업10!L29</f>
        <v>0</v>
      </c>
      <c r="N27" s="96">
        <f>기업11!L29</f>
        <v>0</v>
      </c>
      <c r="O27" s="96">
        <f>기업12!L29</f>
        <v>0</v>
      </c>
      <c r="P27" s="96">
        <f>기업13!L29</f>
        <v>0</v>
      </c>
      <c r="Q27" s="96">
        <f>기업14!L29</f>
        <v>0</v>
      </c>
      <c r="R27" s="96">
        <f>기업15!L29</f>
        <v>0</v>
      </c>
      <c r="S27" s="96">
        <f>기업16!L29</f>
        <v>0</v>
      </c>
      <c r="T27" s="96">
        <f>기업17!L29</f>
        <v>0</v>
      </c>
      <c r="U27" s="96">
        <f>기업18!L29</f>
        <v>0</v>
      </c>
      <c r="V27" s="96">
        <f>기업19!L29</f>
        <v>0</v>
      </c>
      <c r="W27" s="96">
        <f>기업20!L29</f>
        <v>0</v>
      </c>
      <c r="X27" s="96">
        <f>기업21!L29</f>
        <v>0</v>
      </c>
      <c r="Y27" s="96">
        <f>기업22!L29</f>
        <v>0</v>
      </c>
      <c r="Z27" s="96">
        <f>기업23!L29</f>
        <v>0</v>
      </c>
      <c r="AA27" s="96">
        <f>기업24!L29</f>
        <v>0</v>
      </c>
      <c r="AB27" s="96">
        <f>기업25!L29</f>
        <v>0</v>
      </c>
      <c r="AC27" s="96">
        <f>기업26!L29</f>
        <v>0</v>
      </c>
      <c r="AD27" s="96">
        <f>기업27!L29</f>
        <v>0</v>
      </c>
      <c r="AE27" s="96">
        <f>기업28!L29</f>
        <v>0</v>
      </c>
      <c r="AF27" s="96">
        <f>기업29!L29</f>
        <v>0</v>
      </c>
      <c r="AG27" s="96">
        <f>기업30!L29</f>
        <v>0</v>
      </c>
      <c r="AH27" s="96">
        <f>기업31!L29</f>
        <v>0</v>
      </c>
      <c r="AI27" s="96">
        <f>기업32!L29</f>
        <v>0</v>
      </c>
      <c r="AJ27" s="96">
        <f>기업33!L29</f>
        <v>0</v>
      </c>
      <c r="AK27" s="96">
        <f>기업34!L29</f>
        <v>0</v>
      </c>
      <c r="AL27" s="96">
        <f>기업35!L29</f>
        <v>0</v>
      </c>
      <c r="AM27" s="96">
        <f>기업36!L29</f>
        <v>0</v>
      </c>
      <c r="AN27" s="23">
        <f>기업37!L29</f>
        <v>3229819.1999999997</v>
      </c>
      <c r="AO27" s="23">
        <f>기업38!L29</f>
        <v>3229819.1999999997</v>
      </c>
      <c r="AP27" s="23">
        <f>기업39!L29</f>
        <v>3229819.1999999997</v>
      </c>
      <c r="AQ27" s="23">
        <f>기업40!L29</f>
        <v>3229819.1999999997</v>
      </c>
      <c r="AR27" s="23">
        <f>기업41!L29</f>
        <v>3229819.1999999997</v>
      </c>
      <c r="AS27" s="23">
        <f>기업42!L29</f>
        <v>3229819.1999999997</v>
      </c>
      <c r="AT27" s="23">
        <f>기업43!L29</f>
        <v>3229819.1999999997</v>
      </c>
      <c r="AU27" s="96">
        <f>기업44!L29</f>
        <v>0</v>
      </c>
      <c r="AV27" s="96">
        <f>기업45!L29</f>
        <v>0</v>
      </c>
      <c r="AW27" s="96">
        <f>기업46!L29</f>
        <v>0</v>
      </c>
      <c r="AX27" s="96">
        <f>기업47!L29</f>
        <v>0</v>
      </c>
      <c r="AY27" s="96">
        <f>기업48!L29</f>
        <v>0</v>
      </c>
      <c r="AZ27" s="96">
        <f>기업49!L29</f>
        <v>0</v>
      </c>
      <c r="BA27" s="96">
        <f>기업50!L29</f>
        <v>0</v>
      </c>
      <c r="BB27" s="34">
        <f t="shared" si="2"/>
        <v>22608734.399999999</v>
      </c>
    </row>
    <row r="28" spans="1:54" ht="15.75" customHeight="1" x14ac:dyDescent="0.25">
      <c r="A28" s="81"/>
      <c r="B28" s="81"/>
      <c r="C28" s="29" t="s">
        <v>81</v>
      </c>
      <c r="D28" s="96">
        <f>기업01!L30</f>
        <v>0</v>
      </c>
      <c r="E28" s="96">
        <f>기업02!L30</f>
        <v>0</v>
      </c>
      <c r="F28" s="96">
        <f>기업03!L30</f>
        <v>0</v>
      </c>
      <c r="G28" s="96">
        <f>기업04!L30</f>
        <v>0</v>
      </c>
      <c r="H28" s="96">
        <f>기업05!L30</f>
        <v>0</v>
      </c>
      <c r="I28" s="96">
        <f>기업06!L30</f>
        <v>0</v>
      </c>
      <c r="J28" s="96">
        <f>기업07!L30</f>
        <v>0</v>
      </c>
      <c r="K28" s="96">
        <f>기업08!L30</f>
        <v>0</v>
      </c>
      <c r="L28" s="96">
        <f>기업09!L30</f>
        <v>0</v>
      </c>
      <c r="M28" s="96">
        <f>기업10!L30</f>
        <v>0</v>
      </c>
      <c r="N28" s="96">
        <f>기업11!L30</f>
        <v>0</v>
      </c>
      <c r="O28" s="96">
        <f>기업12!L30</f>
        <v>0</v>
      </c>
      <c r="P28" s="96">
        <f>기업13!L30</f>
        <v>0</v>
      </c>
      <c r="Q28" s="96">
        <f>기업14!L30</f>
        <v>0</v>
      </c>
      <c r="R28" s="96">
        <f>기업15!L30</f>
        <v>0</v>
      </c>
      <c r="S28" s="96">
        <f>기업16!L30</f>
        <v>0</v>
      </c>
      <c r="T28" s="96">
        <f>기업17!L30</f>
        <v>0</v>
      </c>
      <c r="U28" s="96">
        <f>기업18!L30</f>
        <v>0</v>
      </c>
      <c r="V28" s="96">
        <f>기업19!L30</f>
        <v>0</v>
      </c>
      <c r="W28" s="96">
        <f>기업20!L30</f>
        <v>0</v>
      </c>
      <c r="X28" s="96">
        <f>기업21!L30</f>
        <v>0</v>
      </c>
      <c r="Y28" s="96">
        <f>기업22!L30</f>
        <v>0</v>
      </c>
      <c r="Z28" s="96">
        <f>기업23!L30</f>
        <v>0</v>
      </c>
      <c r="AA28" s="96">
        <f>기업24!L30</f>
        <v>0</v>
      </c>
      <c r="AB28" s="96">
        <f>기업25!L30</f>
        <v>0</v>
      </c>
      <c r="AC28" s="96">
        <f>기업26!L30</f>
        <v>0</v>
      </c>
      <c r="AD28" s="96">
        <f>기업27!L30</f>
        <v>0</v>
      </c>
      <c r="AE28" s="96">
        <f>기업28!L30</f>
        <v>0</v>
      </c>
      <c r="AF28" s="96">
        <f>기업29!L30</f>
        <v>0</v>
      </c>
      <c r="AG28" s="96">
        <f>기업30!L30</f>
        <v>0</v>
      </c>
      <c r="AH28" s="96">
        <f>기업31!L30</f>
        <v>0</v>
      </c>
      <c r="AI28" s="96">
        <f>기업32!L30</f>
        <v>0</v>
      </c>
      <c r="AJ28" s="96">
        <f>기업33!L30</f>
        <v>0</v>
      </c>
      <c r="AK28" s="96">
        <f>기업34!L30</f>
        <v>0</v>
      </c>
      <c r="AL28" s="96">
        <f>기업35!L30</f>
        <v>0</v>
      </c>
      <c r="AM28" s="96">
        <f>기업36!L30</f>
        <v>0</v>
      </c>
      <c r="AN28" s="96">
        <f>기업37!L30</f>
        <v>0</v>
      </c>
      <c r="AO28" s="96">
        <f>기업38!L30</f>
        <v>0</v>
      </c>
      <c r="AP28" s="96">
        <f>기업39!L30</f>
        <v>0</v>
      </c>
      <c r="AQ28" s="96">
        <f>기업40!L30</f>
        <v>0</v>
      </c>
      <c r="AR28" s="96">
        <f>기업41!L30</f>
        <v>0</v>
      </c>
      <c r="AS28" s="96">
        <f>기업42!L30</f>
        <v>0</v>
      </c>
      <c r="AT28" s="96">
        <f>기업43!L30</f>
        <v>0</v>
      </c>
      <c r="AU28" s="23">
        <f>기업44!L30</f>
        <v>3229819.1999999997</v>
      </c>
      <c r="AV28" s="23">
        <f>기업45!L30</f>
        <v>3229819.1999999997</v>
      </c>
      <c r="AW28" s="23">
        <f>기업46!L30</f>
        <v>3229819.1999999997</v>
      </c>
      <c r="AX28" s="23">
        <f>기업47!L30</f>
        <v>3229819.1999999997</v>
      </c>
      <c r="AY28" s="23">
        <f>기업48!L30</f>
        <v>3229819.1999999997</v>
      </c>
      <c r="AZ28" s="23">
        <f>기업49!L30</f>
        <v>3229819.1999999997</v>
      </c>
      <c r="BA28" s="23">
        <f>기업50!L30</f>
        <v>3229819.1999999997</v>
      </c>
      <c r="BB28" s="34">
        <f t="shared" si="2"/>
        <v>22608734.399999999</v>
      </c>
    </row>
    <row r="29" spans="1:54" ht="15.75" customHeight="1" x14ac:dyDescent="0.25">
      <c r="A29" s="83">
        <v>8</v>
      </c>
      <c r="B29" s="84" t="s">
        <v>60</v>
      </c>
      <c r="C29" s="26" t="s">
        <v>80</v>
      </c>
      <c r="D29" s="24">
        <f>기업01!L31</f>
        <v>0</v>
      </c>
      <c r="E29" s="24">
        <f>기업02!L31</f>
        <v>0</v>
      </c>
      <c r="F29" s="24">
        <f>기업03!L31</f>
        <v>0</v>
      </c>
      <c r="G29" s="24">
        <f>기업04!L31</f>
        <v>0</v>
      </c>
      <c r="H29" s="24">
        <f>기업05!L31</f>
        <v>7786203.5999999996</v>
      </c>
      <c r="I29" s="24">
        <f>기업06!L31</f>
        <v>7786203.5999999996</v>
      </c>
      <c r="J29" s="24">
        <f>기업07!L31</f>
        <v>7786203.5999999996</v>
      </c>
      <c r="K29" s="24">
        <f>기업08!L31</f>
        <v>7786203.5999999996</v>
      </c>
      <c r="L29" s="24">
        <f>기업09!L31</f>
        <v>7786203.5999999996</v>
      </c>
      <c r="M29" s="24">
        <f>기업10!L31</f>
        <v>7786203.5999999996</v>
      </c>
      <c r="N29" s="24">
        <f>기업11!L31</f>
        <v>7786203.5999999996</v>
      </c>
      <c r="O29" s="24">
        <f>기업12!L31</f>
        <v>7786203.5999999996</v>
      </c>
      <c r="P29" s="24">
        <f>기업13!L31</f>
        <v>7786203.5999999996</v>
      </c>
      <c r="Q29" s="24">
        <f>기업14!L31</f>
        <v>7786203.5999999996</v>
      </c>
      <c r="R29" s="24">
        <f>기업15!L31</f>
        <v>7786203.5999999996</v>
      </c>
      <c r="S29" s="24">
        <f>기업16!L31</f>
        <v>7786203.5999999996</v>
      </c>
      <c r="T29" s="24">
        <f>기업17!L31</f>
        <v>7786203.5999999996</v>
      </c>
      <c r="U29" s="24">
        <f>기업18!L31</f>
        <v>7786203.5999999996</v>
      </c>
      <c r="V29" s="24">
        <f>기업19!L31</f>
        <v>7786203.5999999996</v>
      </c>
      <c r="W29" s="24">
        <f>기업20!L31</f>
        <v>7786203.5999999996</v>
      </c>
      <c r="X29" s="24">
        <f>기업21!L31</f>
        <v>7786203.5999999996</v>
      </c>
      <c r="Y29" s="24">
        <f>기업22!L31</f>
        <v>7786203.5999999996</v>
      </c>
      <c r="Z29" s="24">
        <f>기업23!L31</f>
        <v>7786203.5999999996</v>
      </c>
      <c r="AA29" s="24">
        <f>기업24!L31</f>
        <v>7786203.5999999996</v>
      </c>
      <c r="AB29" s="24">
        <f>기업25!L31</f>
        <v>7786203.5999999996</v>
      </c>
      <c r="AC29" s="24">
        <f>기업26!L31</f>
        <v>7786203.5999999996</v>
      </c>
      <c r="AD29" s="24">
        <f>기업27!L31</f>
        <v>7786203.5999999996</v>
      </c>
      <c r="AE29" s="24">
        <f>기업28!L31</f>
        <v>7786203.5999999996</v>
      </c>
      <c r="AF29" s="24">
        <f>기업29!L31</f>
        <v>7786203.5999999996</v>
      </c>
      <c r="AG29" s="24">
        <f>기업30!L31</f>
        <v>7786203.5999999996</v>
      </c>
      <c r="AH29" s="24">
        <f>기업31!L31</f>
        <v>7786203.5999999996</v>
      </c>
      <c r="AI29" s="24">
        <f>기업32!L31</f>
        <v>7786203.5999999996</v>
      </c>
      <c r="AJ29" s="24">
        <f>기업33!L31</f>
        <v>7786203.5999999996</v>
      </c>
      <c r="AK29" s="24">
        <f>기업34!L31</f>
        <v>7786203.5999999996</v>
      </c>
      <c r="AL29" s="24">
        <f>기업35!L31</f>
        <v>7786203.5999999996</v>
      </c>
      <c r="AM29" s="24">
        <f>기업36!L31</f>
        <v>7786203.5999999996</v>
      </c>
      <c r="AN29" s="97">
        <f>기업37!L31</f>
        <v>0</v>
      </c>
      <c r="AO29" s="97">
        <f>기업38!L31</f>
        <v>0</v>
      </c>
      <c r="AP29" s="97">
        <f>기업39!L31</f>
        <v>0</v>
      </c>
      <c r="AQ29" s="97">
        <f>기업40!L31</f>
        <v>0</v>
      </c>
      <c r="AR29" s="97">
        <f>기업41!L31</f>
        <v>0</v>
      </c>
      <c r="AS29" s="97">
        <f>기업42!L31</f>
        <v>0</v>
      </c>
      <c r="AT29" s="97">
        <f>기업43!L31</f>
        <v>0</v>
      </c>
      <c r="AU29" s="97">
        <f>기업44!L31</f>
        <v>0</v>
      </c>
      <c r="AV29" s="97">
        <f>기업45!L31</f>
        <v>0</v>
      </c>
      <c r="AW29" s="97">
        <f>기업46!L31</f>
        <v>0</v>
      </c>
      <c r="AX29" s="97">
        <f>기업47!L31</f>
        <v>0</v>
      </c>
      <c r="AY29" s="97">
        <f>기업48!L31</f>
        <v>0</v>
      </c>
      <c r="AZ29" s="97">
        <f>기업49!L31</f>
        <v>0</v>
      </c>
      <c r="BA29" s="97">
        <f>기업50!L31</f>
        <v>0</v>
      </c>
      <c r="BB29" s="34">
        <f t="shared" si="2"/>
        <v>249158515.19999987</v>
      </c>
    </row>
    <row r="30" spans="1:54" ht="15.75" customHeight="1" x14ac:dyDescent="0.25">
      <c r="A30" s="83"/>
      <c r="B30" s="83"/>
      <c r="C30" s="28" t="s">
        <v>38</v>
      </c>
      <c r="D30" s="97">
        <f>기업01!L32</f>
        <v>0</v>
      </c>
      <c r="E30" s="97">
        <f>기업02!L32</f>
        <v>0</v>
      </c>
      <c r="F30" s="97">
        <f>기업03!L32</f>
        <v>0</v>
      </c>
      <c r="G30" s="97">
        <f>기업04!L32</f>
        <v>0</v>
      </c>
      <c r="H30" s="97">
        <f>기업05!L32</f>
        <v>0</v>
      </c>
      <c r="I30" s="97">
        <f>기업06!L32</f>
        <v>0</v>
      </c>
      <c r="J30" s="97">
        <f>기업07!L32</f>
        <v>0</v>
      </c>
      <c r="K30" s="97">
        <f>기업08!L32</f>
        <v>0</v>
      </c>
      <c r="L30" s="97">
        <f>기업09!L32</f>
        <v>0</v>
      </c>
      <c r="M30" s="97">
        <f>기업10!L32</f>
        <v>0</v>
      </c>
      <c r="N30" s="97">
        <f>기업11!L32</f>
        <v>0</v>
      </c>
      <c r="O30" s="97">
        <f>기업12!L32</f>
        <v>0</v>
      </c>
      <c r="P30" s="97">
        <f>기업13!L32</f>
        <v>0</v>
      </c>
      <c r="Q30" s="97">
        <f>기업14!L32</f>
        <v>0</v>
      </c>
      <c r="R30" s="97">
        <f>기업15!L32</f>
        <v>0</v>
      </c>
      <c r="S30" s="97">
        <f>기업16!L32</f>
        <v>0</v>
      </c>
      <c r="T30" s="97">
        <f>기업17!L32</f>
        <v>0</v>
      </c>
      <c r="U30" s="97">
        <f>기업18!L32</f>
        <v>0</v>
      </c>
      <c r="V30" s="97">
        <f>기업19!L32</f>
        <v>0</v>
      </c>
      <c r="W30" s="97">
        <f>기업20!L32</f>
        <v>0</v>
      </c>
      <c r="X30" s="97">
        <f>기업21!L32</f>
        <v>0</v>
      </c>
      <c r="Y30" s="97">
        <f>기업22!L32</f>
        <v>0</v>
      </c>
      <c r="Z30" s="97">
        <f>기업23!L32</f>
        <v>0</v>
      </c>
      <c r="AA30" s="97">
        <f>기업24!L32</f>
        <v>0</v>
      </c>
      <c r="AB30" s="97">
        <f>기업25!L32</f>
        <v>0</v>
      </c>
      <c r="AC30" s="97">
        <f>기업26!L32</f>
        <v>0</v>
      </c>
      <c r="AD30" s="97">
        <f>기업27!L32</f>
        <v>0</v>
      </c>
      <c r="AE30" s="97">
        <f>기업28!L32</f>
        <v>0</v>
      </c>
      <c r="AF30" s="97">
        <f>기업29!L32</f>
        <v>0</v>
      </c>
      <c r="AG30" s="97">
        <f>기업30!L32</f>
        <v>0</v>
      </c>
      <c r="AH30" s="97">
        <f>기업31!L32</f>
        <v>0</v>
      </c>
      <c r="AI30" s="97">
        <f>기업32!L32</f>
        <v>0</v>
      </c>
      <c r="AJ30" s="97">
        <f>기업33!L32</f>
        <v>0</v>
      </c>
      <c r="AK30" s="97">
        <f>기업34!L32</f>
        <v>0</v>
      </c>
      <c r="AL30" s="97">
        <f>기업35!L32</f>
        <v>0</v>
      </c>
      <c r="AM30" s="97">
        <f>기업36!L32</f>
        <v>0</v>
      </c>
      <c r="AN30" s="24">
        <f>기업37!L32</f>
        <v>1668472.2</v>
      </c>
      <c r="AO30" s="24">
        <f>기업38!L32</f>
        <v>1668472.2</v>
      </c>
      <c r="AP30" s="24">
        <f>기업39!L32</f>
        <v>1668472.2</v>
      </c>
      <c r="AQ30" s="24">
        <f>기업40!L32</f>
        <v>1668472.2</v>
      </c>
      <c r="AR30" s="24">
        <f>기업41!L32</f>
        <v>1668472.2</v>
      </c>
      <c r="AS30" s="24">
        <f>기업42!L32</f>
        <v>1668472.2</v>
      </c>
      <c r="AT30" s="24">
        <f>기업43!L32</f>
        <v>1668472.2</v>
      </c>
      <c r="AU30" s="97">
        <f>기업44!L32</f>
        <v>0</v>
      </c>
      <c r="AV30" s="97">
        <f>기업45!L32</f>
        <v>0</v>
      </c>
      <c r="AW30" s="97">
        <f>기업46!L32</f>
        <v>0</v>
      </c>
      <c r="AX30" s="97">
        <f>기업47!L32</f>
        <v>0</v>
      </c>
      <c r="AY30" s="97">
        <f>기업48!L32</f>
        <v>0</v>
      </c>
      <c r="AZ30" s="97">
        <f>기업49!L32</f>
        <v>0</v>
      </c>
      <c r="BA30" s="97">
        <f>기업50!L32</f>
        <v>0</v>
      </c>
      <c r="BB30" s="34">
        <f t="shared" si="2"/>
        <v>11679305.399999999</v>
      </c>
    </row>
    <row r="31" spans="1:54" ht="15.75" customHeight="1" x14ac:dyDescent="0.25">
      <c r="A31" s="83"/>
      <c r="B31" s="83"/>
      <c r="C31" s="29" t="s">
        <v>81</v>
      </c>
      <c r="D31" s="97">
        <f>기업01!L33</f>
        <v>0</v>
      </c>
      <c r="E31" s="97">
        <f>기업02!L33</f>
        <v>0</v>
      </c>
      <c r="F31" s="97">
        <f>기업03!L33</f>
        <v>0</v>
      </c>
      <c r="G31" s="97">
        <f>기업04!L33</f>
        <v>0</v>
      </c>
      <c r="H31" s="97">
        <f>기업05!L33</f>
        <v>0</v>
      </c>
      <c r="I31" s="97">
        <f>기업06!L33</f>
        <v>0</v>
      </c>
      <c r="J31" s="97">
        <f>기업07!L33</f>
        <v>0</v>
      </c>
      <c r="K31" s="97">
        <f>기업08!L33</f>
        <v>0</v>
      </c>
      <c r="L31" s="97">
        <f>기업09!L33</f>
        <v>0</v>
      </c>
      <c r="M31" s="97">
        <f>기업10!L33</f>
        <v>0</v>
      </c>
      <c r="N31" s="97">
        <f>기업11!L33</f>
        <v>0</v>
      </c>
      <c r="O31" s="97">
        <f>기업12!L33</f>
        <v>0</v>
      </c>
      <c r="P31" s="97">
        <f>기업13!L33</f>
        <v>0</v>
      </c>
      <c r="Q31" s="97">
        <f>기업14!L33</f>
        <v>0</v>
      </c>
      <c r="R31" s="97">
        <f>기업15!L33</f>
        <v>0</v>
      </c>
      <c r="S31" s="97">
        <f>기업16!L33</f>
        <v>0</v>
      </c>
      <c r="T31" s="97">
        <f>기업17!L33</f>
        <v>0</v>
      </c>
      <c r="U31" s="97">
        <f>기업18!L33</f>
        <v>0</v>
      </c>
      <c r="V31" s="97">
        <f>기업19!L33</f>
        <v>0</v>
      </c>
      <c r="W31" s="97">
        <f>기업20!L33</f>
        <v>0</v>
      </c>
      <c r="X31" s="97">
        <f>기업21!L33</f>
        <v>0</v>
      </c>
      <c r="Y31" s="97">
        <f>기업22!L33</f>
        <v>0</v>
      </c>
      <c r="Z31" s="97">
        <f>기업23!L33</f>
        <v>0</v>
      </c>
      <c r="AA31" s="97">
        <f>기업24!L33</f>
        <v>0</v>
      </c>
      <c r="AB31" s="97">
        <f>기업25!L33</f>
        <v>0</v>
      </c>
      <c r="AC31" s="97">
        <f>기업26!L33</f>
        <v>0</v>
      </c>
      <c r="AD31" s="97">
        <f>기업27!L33</f>
        <v>0</v>
      </c>
      <c r="AE31" s="97">
        <f>기업28!L33</f>
        <v>0</v>
      </c>
      <c r="AF31" s="97">
        <f>기업29!L33</f>
        <v>0</v>
      </c>
      <c r="AG31" s="97">
        <f>기업30!L33</f>
        <v>0</v>
      </c>
      <c r="AH31" s="97">
        <f>기업31!L33</f>
        <v>0</v>
      </c>
      <c r="AI31" s="97">
        <f>기업32!L33</f>
        <v>0</v>
      </c>
      <c r="AJ31" s="97">
        <f>기업33!L33</f>
        <v>0</v>
      </c>
      <c r="AK31" s="97">
        <f>기업34!L33</f>
        <v>0</v>
      </c>
      <c r="AL31" s="97">
        <f>기업35!L33</f>
        <v>0</v>
      </c>
      <c r="AM31" s="97">
        <f>기업36!L33</f>
        <v>0</v>
      </c>
      <c r="AN31" s="97">
        <f>기업37!L33</f>
        <v>0</v>
      </c>
      <c r="AO31" s="97">
        <f>기업38!L33</f>
        <v>0</v>
      </c>
      <c r="AP31" s="97">
        <f>기업39!L33</f>
        <v>0</v>
      </c>
      <c r="AQ31" s="97">
        <f>기업40!L33</f>
        <v>0</v>
      </c>
      <c r="AR31" s="97">
        <f>기업41!L33</f>
        <v>0</v>
      </c>
      <c r="AS31" s="97">
        <f>기업42!L33</f>
        <v>0</v>
      </c>
      <c r="AT31" s="97">
        <f>기업43!L33</f>
        <v>0</v>
      </c>
      <c r="AU31" s="24">
        <f>기업44!L33</f>
        <v>1668472.2</v>
      </c>
      <c r="AV31" s="24">
        <f>기업45!L33</f>
        <v>1668472.2</v>
      </c>
      <c r="AW31" s="24">
        <f>기업46!L33</f>
        <v>1668472.2</v>
      </c>
      <c r="AX31" s="24">
        <f>기업47!L33</f>
        <v>1668472.2</v>
      </c>
      <c r="AY31" s="24">
        <f>기업48!L33</f>
        <v>1668472.2</v>
      </c>
      <c r="AZ31" s="24">
        <f>기업49!L33</f>
        <v>1668472.2</v>
      </c>
      <c r="BA31" s="24">
        <f>기업50!L33</f>
        <v>1668472.2</v>
      </c>
      <c r="BB31" s="34">
        <f t="shared" si="2"/>
        <v>11679305.399999999</v>
      </c>
    </row>
    <row r="32" spans="1:54" ht="15.75" customHeight="1" x14ac:dyDescent="0.25">
      <c r="A32" s="81">
        <v>9</v>
      </c>
      <c r="B32" s="82" t="s">
        <v>61</v>
      </c>
      <c r="C32" s="26" t="s">
        <v>80</v>
      </c>
      <c r="D32" s="23">
        <f>기업01!L34</f>
        <v>0</v>
      </c>
      <c r="E32" s="23">
        <f>기업02!L34</f>
        <v>0</v>
      </c>
      <c r="F32" s="23">
        <f>기업03!L34</f>
        <v>0</v>
      </c>
      <c r="G32" s="23">
        <f>기업04!L34</f>
        <v>0</v>
      </c>
      <c r="H32" s="23">
        <f>기업05!L34</f>
        <v>68685276.799999997</v>
      </c>
      <c r="I32" s="23">
        <f>기업06!L34</f>
        <v>68685276.799999997</v>
      </c>
      <c r="J32" s="23">
        <f>기업07!L34</f>
        <v>68685276.799999997</v>
      </c>
      <c r="K32" s="23">
        <f>기업08!L34</f>
        <v>68685276.799999997</v>
      </c>
      <c r="L32" s="23">
        <f>기업09!L34</f>
        <v>68685276.799999997</v>
      </c>
      <c r="M32" s="23">
        <f>기업10!L34</f>
        <v>68685276.799999997</v>
      </c>
      <c r="N32" s="23">
        <f>기업11!L34</f>
        <v>68685276.799999997</v>
      </c>
      <c r="O32" s="23">
        <f>기업12!L34</f>
        <v>68685276.799999997</v>
      </c>
      <c r="P32" s="23">
        <f>기업13!L34</f>
        <v>68685276.799999997</v>
      </c>
      <c r="Q32" s="23">
        <f>기업14!L34</f>
        <v>68685276.799999997</v>
      </c>
      <c r="R32" s="23">
        <f>기업15!L34</f>
        <v>68685276.799999997</v>
      </c>
      <c r="S32" s="23">
        <f>기업16!L34</f>
        <v>68685276.799999997</v>
      </c>
      <c r="T32" s="23">
        <f>기업17!L34</f>
        <v>68685276.799999997</v>
      </c>
      <c r="U32" s="23">
        <f>기업18!L34</f>
        <v>68685276.799999997</v>
      </c>
      <c r="V32" s="23">
        <f>기업19!L34</f>
        <v>68685276.799999997</v>
      </c>
      <c r="W32" s="23">
        <f>기업20!L34</f>
        <v>68685276.799999997</v>
      </c>
      <c r="X32" s="23">
        <f>기업21!L34</f>
        <v>68685276.799999997</v>
      </c>
      <c r="Y32" s="23">
        <f>기업22!L34</f>
        <v>68685276.799999997</v>
      </c>
      <c r="Z32" s="23">
        <f>기업23!L34</f>
        <v>68685276.799999997</v>
      </c>
      <c r="AA32" s="23">
        <f>기업24!L34</f>
        <v>68685276.799999997</v>
      </c>
      <c r="AB32" s="23">
        <f>기업25!L34</f>
        <v>68685276.799999997</v>
      </c>
      <c r="AC32" s="23">
        <f>기업26!L34</f>
        <v>68685276.799999997</v>
      </c>
      <c r="AD32" s="23">
        <f>기업27!L34</f>
        <v>68685276.799999997</v>
      </c>
      <c r="AE32" s="23">
        <f>기업28!L34</f>
        <v>68685276.799999997</v>
      </c>
      <c r="AF32" s="23">
        <f>기업29!L34</f>
        <v>68685276.799999997</v>
      </c>
      <c r="AG32" s="23">
        <f>기업30!L34</f>
        <v>68685276.799999997</v>
      </c>
      <c r="AH32" s="23">
        <f>기업31!L34</f>
        <v>68685276.799999997</v>
      </c>
      <c r="AI32" s="23">
        <f>기업32!L34</f>
        <v>68685276.799999997</v>
      </c>
      <c r="AJ32" s="23">
        <f>기업33!L34</f>
        <v>68685276.799999997</v>
      </c>
      <c r="AK32" s="23">
        <f>기업34!L34</f>
        <v>68685276.799999997</v>
      </c>
      <c r="AL32" s="23">
        <f>기업35!L34</f>
        <v>68685276.799999997</v>
      </c>
      <c r="AM32" s="23">
        <f>기업36!L34</f>
        <v>68685276.799999997</v>
      </c>
      <c r="AN32" s="96">
        <f>기업37!L34</f>
        <v>0</v>
      </c>
      <c r="AO32" s="96">
        <f>기업38!L34</f>
        <v>0</v>
      </c>
      <c r="AP32" s="96">
        <f>기업39!L34</f>
        <v>0</v>
      </c>
      <c r="AQ32" s="96">
        <f>기업40!L34</f>
        <v>0</v>
      </c>
      <c r="AR32" s="96">
        <f>기업41!L34</f>
        <v>0</v>
      </c>
      <c r="AS32" s="96">
        <f>기업42!L34</f>
        <v>0</v>
      </c>
      <c r="AT32" s="96">
        <f>기업43!L34</f>
        <v>0</v>
      </c>
      <c r="AU32" s="96">
        <f>기업44!L34</f>
        <v>0</v>
      </c>
      <c r="AV32" s="96">
        <f>기업45!L34</f>
        <v>0</v>
      </c>
      <c r="AW32" s="96">
        <f>기업46!L34</f>
        <v>0</v>
      </c>
      <c r="AX32" s="96">
        <f>기업47!L34</f>
        <v>0</v>
      </c>
      <c r="AY32" s="96">
        <f>기업48!L34</f>
        <v>0</v>
      </c>
      <c r="AZ32" s="96">
        <f>기업49!L34</f>
        <v>0</v>
      </c>
      <c r="BA32" s="96">
        <f>기업50!L34</f>
        <v>0</v>
      </c>
      <c r="BB32" s="34">
        <f t="shared" si="2"/>
        <v>2197928857.599999</v>
      </c>
    </row>
    <row r="33" spans="1:54" ht="15.75" customHeight="1" x14ac:dyDescent="0.25">
      <c r="A33" s="81"/>
      <c r="B33" s="81"/>
      <c r="C33" s="28" t="s">
        <v>38</v>
      </c>
      <c r="D33" s="96">
        <f>기업01!L35</f>
        <v>0</v>
      </c>
      <c r="E33" s="96">
        <f>기업02!L35</f>
        <v>0</v>
      </c>
      <c r="F33" s="96">
        <f>기업03!L35</f>
        <v>0</v>
      </c>
      <c r="G33" s="96">
        <f>기업04!L35</f>
        <v>0</v>
      </c>
      <c r="H33" s="96">
        <f>기업05!L35</f>
        <v>0</v>
      </c>
      <c r="I33" s="96">
        <f>기업06!L35</f>
        <v>0</v>
      </c>
      <c r="J33" s="96">
        <f>기업07!L35</f>
        <v>0</v>
      </c>
      <c r="K33" s="96">
        <f>기업08!L35</f>
        <v>0</v>
      </c>
      <c r="L33" s="96">
        <f>기업09!L35</f>
        <v>0</v>
      </c>
      <c r="M33" s="96">
        <f>기업10!L35</f>
        <v>0</v>
      </c>
      <c r="N33" s="96">
        <f>기업11!L35</f>
        <v>0</v>
      </c>
      <c r="O33" s="96">
        <f>기업12!L35</f>
        <v>0</v>
      </c>
      <c r="P33" s="96">
        <f>기업13!L35</f>
        <v>0</v>
      </c>
      <c r="Q33" s="96">
        <f>기업14!L35</f>
        <v>0</v>
      </c>
      <c r="R33" s="96">
        <f>기업15!L35</f>
        <v>0</v>
      </c>
      <c r="S33" s="96">
        <f>기업16!L35</f>
        <v>0</v>
      </c>
      <c r="T33" s="96">
        <f>기업17!L35</f>
        <v>0</v>
      </c>
      <c r="U33" s="96">
        <f>기업18!L35</f>
        <v>0</v>
      </c>
      <c r="V33" s="96">
        <f>기업19!L35</f>
        <v>0</v>
      </c>
      <c r="W33" s="96">
        <f>기업20!L35</f>
        <v>0</v>
      </c>
      <c r="X33" s="96">
        <f>기업21!L35</f>
        <v>0</v>
      </c>
      <c r="Y33" s="96">
        <f>기업22!L35</f>
        <v>0</v>
      </c>
      <c r="Z33" s="96">
        <f>기업23!L35</f>
        <v>0</v>
      </c>
      <c r="AA33" s="96">
        <f>기업24!L35</f>
        <v>0</v>
      </c>
      <c r="AB33" s="96">
        <f>기업25!L35</f>
        <v>0</v>
      </c>
      <c r="AC33" s="96">
        <f>기업26!L35</f>
        <v>0</v>
      </c>
      <c r="AD33" s="96">
        <f>기업27!L35</f>
        <v>0</v>
      </c>
      <c r="AE33" s="96">
        <f>기업28!L35</f>
        <v>0</v>
      </c>
      <c r="AF33" s="96">
        <f>기업29!L35</f>
        <v>0</v>
      </c>
      <c r="AG33" s="96">
        <f>기업30!L35</f>
        <v>0</v>
      </c>
      <c r="AH33" s="96">
        <f>기업31!L35</f>
        <v>0</v>
      </c>
      <c r="AI33" s="96">
        <f>기업32!L35</f>
        <v>0</v>
      </c>
      <c r="AJ33" s="96">
        <f>기업33!L35</f>
        <v>0</v>
      </c>
      <c r="AK33" s="96">
        <f>기업34!L35</f>
        <v>0</v>
      </c>
      <c r="AL33" s="96">
        <f>기업35!L35</f>
        <v>0</v>
      </c>
      <c r="AM33" s="96">
        <f>기업36!L35</f>
        <v>0</v>
      </c>
      <c r="AN33" s="23">
        <f>기업37!L35</f>
        <v>0</v>
      </c>
      <c r="AO33" s="23">
        <f>기업38!L35</f>
        <v>0</v>
      </c>
      <c r="AP33" s="23">
        <f>기업39!L35</f>
        <v>0</v>
      </c>
      <c r="AQ33" s="23">
        <f>기업40!L35</f>
        <v>0</v>
      </c>
      <c r="AR33" s="23">
        <f>기업41!L35</f>
        <v>0</v>
      </c>
      <c r="AS33" s="23">
        <f>기업42!L35</f>
        <v>0</v>
      </c>
      <c r="AT33" s="23">
        <f>기업43!L35</f>
        <v>0</v>
      </c>
      <c r="AU33" s="96">
        <f>기업44!L35</f>
        <v>0</v>
      </c>
      <c r="AV33" s="96">
        <f>기업45!L35</f>
        <v>0</v>
      </c>
      <c r="AW33" s="96">
        <f>기업46!L35</f>
        <v>0</v>
      </c>
      <c r="AX33" s="96">
        <f>기업47!L35</f>
        <v>0</v>
      </c>
      <c r="AY33" s="96">
        <f>기업48!L35</f>
        <v>0</v>
      </c>
      <c r="AZ33" s="96">
        <f>기업49!L35</f>
        <v>0</v>
      </c>
      <c r="BA33" s="96">
        <f>기업50!L35</f>
        <v>0</v>
      </c>
      <c r="BB33" s="34">
        <f t="shared" si="2"/>
        <v>0</v>
      </c>
    </row>
    <row r="34" spans="1:54" ht="15.75" customHeight="1" x14ac:dyDescent="0.25">
      <c r="A34" s="81"/>
      <c r="B34" s="81"/>
      <c r="C34" s="29" t="s">
        <v>81</v>
      </c>
      <c r="D34" s="96">
        <f>기업01!L36</f>
        <v>0</v>
      </c>
      <c r="E34" s="96">
        <f>기업02!L36</f>
        <v>0</v>
      </c>
      <c r="F34" s="96">
        <f>기업03!L36</f>
        <v>0</v>
      </c>
      <c r="G34" s="96">
        <f>기업04!L36</f>
        <v>0</v>
      </c>
      <c r="H34" s="96">
        <f>기업05!L36</f>
        <v>0</v>
      </c>
      <c r="I34" s="96">
        <f>기업06!L36</f>
        <v>0</v>
      </c>
      <c r="J34" s="96">
        <f>기업07!L36</f>
        <v>0</v>
      </c>
      <c r="K34" s="96">
        <f>기업08!L36</f>
        <v>0</v>
      </c>
      <c r="L34" s="96">
        <f>기업09!L36</f>
        <v>0</v>
      </c>
      <c r="M34" s="96">
        <f>기업10!L36</f>
        <v>0</v>
      </c>
      <c r="N34" s="96">
        <f>기업11!L36</f>
        <v>0</v>
      </c>
      <c r="O34" s="96">
        <f>기업12!L36</f>
        <v>0</v>
      </c>
      <c r="P34" s="96">
        <f>기업13!L36</f>
        <v>0</v>
      </c>
      <c r="Q34" s="96">
        <f>기업14!L36</f>
        <v>0</v>
      </c>
      <c r="R34" s="96">
        <f>기업15!L36</f>
        <v>0</v>
      </c>
      <c r="S34" s="96">
        <f>기업16!L36</f>
        <v>0</v>
      </c>
      <c r="T34" s="96">
        <f>기업17!L36</f>
        <v>0</v>
      </c>
      <c r="U34" s="96">
        <f>기업18!L36</f>
        <v>0</v>
      </c>
      <c r="V34" s="96">
        <f>기업19!L36</f>
        <v>0</v>
      </c>
      <c r="W34" s="96">
        <f>기업20!L36</f>
        <v>0</v>
      </c>
      <c r="X34" s="96">
        <f>기업21!L36</f>
        <v>0</v>
      </c>
      <c r="Y34" s="96">
        <f>기업22!L36</f>
        <v>0</v>
      </c>
      <c r="Z34" s="96">
        <f>기업23!L36</f>
        <v>0</v>
      </c>
      <c r="AA34" s="96">
        <f>기업24!L36</f>
        <v>0</v>
      </c>
      <c r="AB34" s="96">
        <f>기업25!L36</f>
        <v>0</v>
      </c>
      <c r="AC34" s="96">
        <f>기업26!L36</f>
        <v>0</v>
      </c>
      <c r="AD34" s="96">
        <f>기업27!L36</f>
        <v>0</v>
      </c>
      <c r="AE34" s="96">
        <f>기업28!L36</f>
        <v>0</v>
      </c>
      <c r="AF34" s="96">
        <f>기업29!L36</f>
        <v>0</v>
      </c>
      <c r="AG34" s="96">
        <f>기업30!L36</f>
        <v>0</v>
      </c>
      <c r="AH34" s="96">
        <f>기업31!L36</f>
        <v>0</v>
      </c>
      <c r="AI34" s="96">
        <f>기업32!L36</f>
        <v>0</v>
      </c>
      <c r="AJ34" s="96">
        <f>기업33!L36</f>
        <v>0</v>
      </c>
      <c r="AK34" s="96">
        <f>기업34!L36</f>
        <v>0</v>
      </c>
      <c r="AL34" s="96">
        <f>기업35!L36</f>
        <v>0</v>
      </c>
      <c r="AM34" s="96">
        <f>기업36!L36</f>
        <v>0</v>
      </c>
      <c r="AN34" s="96">
        <f>기업37!L36</f>
        <v>0</v>
      </c>
      <c r="AO34" s="96">
        <f>기업38!L36</f>
        <v>0</v>
      </c>
      <c r="AP34" s="96">
        <f>기업39!L36</f>
        <v>0</v>
      </c>
      <c r="AQ34" s="96">
        <f>기업40!L36</f>
        <v>0</v>
      </c>
      <c r="AR34" s="96">
        <f>기업41!L36</f>
        <v>0</v>
      </c>
      <c r="AS34" s="96">
        <f>기업42!L36</f>
        <v>0</v>
      </c>
      <c r="AT34" s="96">
        <f>기업43!L36</f>
        <v>0</v>
      </c>
      <c r="AU34" s="23">
        <f>기업44!L36</f>
        <v>0</v>
      </c>
      <c r="AV34" s="23">
        <f>기업45!L36</f>
        <v>29436547.199999999</v>
      </c>
      <c r="AW34" s="23">
        <f>기업46!L36</f>
        <v>29436547.199999999</v>
      </c>
      <c r="AX34" s="23">
        <f>기업47!L36</f>
        <v>29436547.199999999</v>
      </c>
      <c r="AY34" s="23">
        <f>기업48!L36</f>
        <v>29436547.199999999</v>
      </c>
      <c r="AZ34" s="23">
        <f>기업49!L36</f>
        <v>29436547.199999999</v>
      </c>
      <c r="BA34" s="23">
        <f>기업50!L36</f>
        <v>29436547.199999999</v>
      </c>
      <c r="BB34" s="34">
        <f t="shared" si="2"/>
        <v>176619283.19999999</v>
      </c>
    </row>
    <row r="35" spans="1:54" ht="15.75" customHeight="1" x14ac:dyDescent="0.25">
      <c r="A35" s="83">
        <v>10</v>
      </c>
      <c r="B35" s="84" t="s">
        <v>25</v>
      </c>
      <c r="C35" s="26" t="s">
        <v>80</v>
      </c>
      <c r="D35" s="24">
        <f>기업01!L37</f>
        <v>0</v>
      </c>
      <c r="E35" s="24">
        <f>기업02!L37</f>
        <v>0</v>
      </c>
      <c r="F35" s="24">
        <f>기업03!L37</f>
        <v>0</v>
      </c>
      <c r="G35" s="24">
        <f>기업04!L37</f>
        <v>0</v>
      </c>
      <c r="H35" s="24">
        <f>기업05!L37</f>
        <v>17806072.899999999</v>
      </c>
      <c r="I35" s="24">
        <f>기업06!L37</f>
        <v>17806072.899999999</v>
      </c>
      <c r="J35" s="24">
        <f>기업07!L37</f>
        <v>17806072.899999999</v>
      </c>
      <c r="K35" s="24">
        <f>기업08!L37</f>
        <v>17806072.899999999</v>
      </c>
      <c r="L35" s="24">
        <f>기업09!L37</f>
        <v>17806072.899999999</v>
      </c>
      <c r="M35" s="24">
        <f>기업10!L37</f>
        <v>17806072.899999999</v>
      </c>
      <c r="N35" s="24">
        <f>기업11!L37</f>
        <v>17806072.899999999</v>
      </c>
      <c r="O35" s="24">
        <f>기업12!L37</f>
        <v>17806072.899999999</v>
      </c>
      <c r="P35" s="24">
        <f>기업13!L37</f>
        <v>17806072.899999999</v>
      </c>
      <c r="Q35" s="24">
        <f>기업14!L37</f>
        <v>17806072.899999999</v>
      </c>
      <c r="R35" s="24">
        <f>기업15!L37</f>
        <v>17806072.899999999</v>
      </c>
      <c r="S35" s="24">
        <f>기업16!L37</f>
        <v>17806072.899999999</v>
      </c>
      <c r="T35" s="24">
        <f>기업17!L37</f>
        <v>17806072.899999999</v>
      </c>
      <c r="U35" s="24">
        <f>기업18!L37</f>
        <v>17806072.899999999</v>
      </c>
      <c r="V35" s="24">
        <f>기업19!L37</f>
        <v>17806072.899999999</v>
      </c>
      <c r="W35" s="24">
        <f>기업20!L37</f>
        <v>17806072.899999999</v>
      </c>
      <c r="X35" s="24">
        <f>기업21!L37</f>
        <v>17806072.899999999</v>
      </c>
      <c r="Y35" s="24">
        <f>기업22!L37</f>
        <v>17806072.899999999</v>
      </c>
      <c r="Z35" s="24">
        <f>기업23!L37</f>
        <v>17806072.899999999</v>
      </c>
      <c r="AA35" s="24">
        <f>기업24!L37</f>
        <v>17806072.899999999</v>
      </c>
      <c r="AB35" s="24">
        <f>기업25!L37</f>
        <v>17806072.899999999</v>
      </c>
      <c r="AC35" s="24">
        <f>기업26!L37</f>
        <v>17806072.899999999</v>
      </c>
      <c r="AD35" s="24">
        <f>기업27!L37</f>
        <v>17806072.899999999</v>
      </c>
      <c r="AE35" s="24">
        <f>기업28!L37</f>
        <v>17806072.899999999</v>
      </c>
      <c r="AF35" s="24">
        <f>기업29!L37</f>
        <v>17806072.899999999</v>
      </c>
      <c r="AG35" s="24">
        <f>기업30!L37</f>
        <v>17806072.899999999</v>
      </c>
      <c r="AH35" s="24">
        <f>기업31!L37</f>
        <v>17806072.899999999</v>
      </c>
      <c r="AI35" s="24">
        <f>기업32!L37</f>
        <v>35612145.799999997</v>
      </c>
      <c r="AJ35" s="24">
        <f>기업33!L37</f>
        <v>35612145.799999997</v>
      </c>
      <c r="AK35" s="24">
        <f>기업34!L37</f>
        <v>35612145.799999997</v>
      </c>
      <c r="AL35" s="24">
        <f>기업35!L37</f>
        <v>35612145.799999997</v>
      </c>
      <c r="AM35" s="24">
        <f>기업36!L37</f>
        <v>35612145.799999997</v>
      </c>
      <c r="AN35" s="97">
        <f>기업37!L37</f>
        <v>0</v>
      </c>
      <c r="AO35" s="97">
        <f>기업38!L37</f>
        <v>0</v>
      </c>
      <c r="AP35" s="97">
        <f>기업39!L37</f>
        <v>0</v>
      </c>
      <c r="AQ35" s="97">
        <f>기업40!L37</f>
        <v>0</v>
      </c>
      <c r="AR35" s="97">
        <f>기업41!L37</f>
        <v>0</v>
      </c>
      <c r="AS35" s="97">
        <f>기업42!L37</f>
        <v>0</v>
      </c>
      <c r="AT35" s="97">
        <f>기업43!L37</f>
        <v>0</v>
      </c>
      <c r="AU35" s="97">
        <f>기업44!L37</f>
        <v>0</v>
      </c>
      <c r="AV35" s="97">
        <f>기업45!L37</f>
        <v>0</v>
      </c>
      <c r="AW35" s="97">
        <f>기업46!L37</f>
        <v>0</v>
      </c>
      <c r="AX35" s="97">
        <f>기업47!L37</f>
        <v>0</v>
      </c>
      <c r="AY35" s="97">
        <f>기업48!L37</f>
        <v>0</v>
      </c>
      <c r="AZ35" s="97">
        <f>기업49!L37</f>
        <v>0</v>
      </c>
      <c r="BA35" s="97">
        <f>기업50!L37</f>
        <v>0</v>
      </c>
      <c r="BB35" s="34">
        <f t="shared" si="2"/>
        <v>658824697.29999959</v>
      </c>
    </row>
    <row r="36" spans="1:54" ht="15.75" customHeight="1" x14ac:dyDescent="0.25">
      <c r="A36" s="83"/>
      <c r="B36" s="83"/>
      <c r="C36" s="28" t="s">
        <v>38</v>
      </c>
      <c r="D36" s="97">
        <f>기업01!L38</f>
        <v>0</v>
      </c>
      <c r="E36" s="97">
        <f>기업02!L38</f>
        <v>0</v>
      </c>
      <c r="F36" s="97">
        <f>기업03!L38</f>
        <v>0</v>
      </c>
      <c r="G36" s="97">
        <f>기업04!L38</f>
        <v>0</v>
      </c>
      <c r="H36" s="97">
        <f>기업05!L38</f>
        <v>0</v>
      </c>
      <c r="I36" s="97">
        <f>기업06!L38</f>
        <v>0</v>
      </c>
      <c r="J36" s="97">
        <f>기업07!L38</f>
        <v>0</v>
      </c>
      <c r="K36" s="97">
        <f>기업08!L38</f>
        <v>0</v>
      </c>
      <c r="L36" s="97">
        <f>기업09!L38</f>
        <v>0</v>
      </c>
      <c r="M36" s="97">
        <f>기업10!L38</f>
        <v>0</v>
      </c>
      <c r="N36" s="97">
        <f>기업11!L38</f>
        <v>0</v>
      </c>
      <c r="O36" s="97">
        <f>기업12!L38</f>
        <v>0</v>
      </c>
      <c r="P36" s="97">
        <f>기업13!L38</f>
        <v>0</v>
      </c>
      <c r="Q36" s="97">
        <f>기업14!L38</f>
        <v>0</v>
      </c>
      <c r="R36" s="97">
        <f>기업15!L38</f>
        <v>0</v>
      </c>
      <c r="S36" s="97">
        <f>기업16!L38</f>
        <v>0</v>
      </c>
      <c r="T36" s="97">
        <f>기업17!L38</f>
        <v>0</v>
      </c>
      <c r="U36" s="97">
        <f>기업18!L38</f>
        <v>0</v>
      </c>
      <c r="V36" s="97">
        <f>기업19!L38</f>
        <v>0</v>
      </c>
      <c r="W36" s="97">
        <f>기업20!L38</f>
        <v>0</v>
      </c>
      <c r="X36" s="97">
        <f>기업21!L38</f>
        <v>0</v>
      </c>
      <c r="Y36" s="97">
        <f>기업22!L38</f>
        <v>0</v>
      </c>
      <c r="Z36" s="97">
        <f>기업23!L38</f>
        <v>0</v>
      </c>
      <c r="AA36" s="97">
        <f>기업24!L38</f>
        <v>0</v>
      </c>
      <c r="AB36" s="97">
        <f>기업25!L38</f>
        <v>0</v>
      </c>
      <c r="AC36" s="97">
        <f>기업26!L38</f>
        <v>0</v>
      </c>
      <c r="AD36" s="97">
        <f>기업27!L38</f>
        <v>0</v>
      </c>
      <c r="AE36" s="97">
        <f>기업28!L38</f>
        <v>0</v>
      </c>
      <c r="AF36" s="97">
        <f>기업29!L38</f>
        <v>0</v>
      </c>
      <c r="AG36" s="97">
        <f>기업30!L38</f>
        <v>0</v>
      </c>
      <c r="AH36" s="97">
        <f>기업31!L38</f>
        <v>0</v>
      </c>
      <c r="AI36" s="97">
        <f>기업32!L38</f>
        <v>0</v>
      </c>
      <c r="AJ36" s="97">
        <f>기업33!L38</f>
        <v>0</v>
      </c>
      <c r="AK36" s="97">
        <f>기업34!L38</f>
        <v>0</v>
      </c>
      <c r="AL36" s="97">
        <f>기업35!L38</f>
        <v>0</v>
      </c>
      <c r="AM36" s="97">
        <f>기업36!L38</f>
        <v>0</v>
      </c>
      <c r="AN36" s="24">
        <f>기업37!L38</f>
        <v>0</v>
      </c>
      <c r="AO36" s="24">
        <f>기업38!L38</f>
        <v>0</v>
      </c>
      <c r="AP36" s="24">
        <f>기업39!L38</f>
        <v>0</v>
      </c>
      <c r="AQ36" s="24">
        <f>기업40!L38</f>
        <v>0</v>
      </c>
      <c r="AR36" s="24">
        <f>기업41!L38</f>
        <v>0</v>
      </c>
      <c r="AS36" s="24">
        <f>기업42!L38</f>
        <v>0</v>
      </c>
      <c r="AT36" s="24">
        <f>기업43!L38</f>
        <v>0</v>
      </c>
      <c r="AU36" s="97">
        <f>기업44!L38</f>
        <v>0</v>
      </c>
      <c r="AV36" s="97">
        <f>기업45!L38</f>
        <v>0</v>
      </c>
      <c r="AW36" s="97">
        <f>기업46!L38</f>
        <v>0</v>
      </c>
      <c r="AX36" s="97">
        <f>기업47!L38</f>
        <v>0</v>
      </c>
      <c r="AY36" s="97">
        <f>기업48!L38</f>
        <v>0</v>
      </c>
      <c r="AZ36" s="97">
        <f>기업49!L38</f>
        <v>0</v>
      </c>
      <c r="BA36" s="97">
        <f>기업50!L38</f>
        <v>0</v>
      </c>
      <c r="BB36" s="34">
        <f t="shared" si="2"/>
        <v>0</v>
      </c>
    </row>
    <row r="37" spans="1:54" ht="15.75" customHeight="1" x14ac:dyDescent="0.25">
      <c r="A37" s="83"/>
      <c r="B37" s="83"/>
      <c r="C37" s="29" t="s">
        <v>81</v>
      </c>
      <c r="D37" s="97">
        <f>기업01!L39</f>
        <v>0</v>
      </c>
      <c r="E37" s="97">
        <f>기업02!L39</f>
        <v>0</v>
      </c>
      <c r="F37" s="97">
        <f>기업03!L39</f>
        <v>0</v>
      </c>
      <c r="G37" s="97">
        <f>기업04!L39</f>
        <v>0</v>
      </c>
      <c r="H37" s="97">
        <f>기업05!L39</f>
        <v>0</v>
      </c>
      <c r="I37" s="97">
        <f>기업06!L39</f>
        <v>0</v>
      </c>
      <c r="J37" s="97">
        <f>기업07!L39</f>
        <v>0</v>
      </c>
      <c r="K37" s="97">
        <f>기업08!L39</f>
        <v>0</v>
      </c>
      <c r="L37" s="97">
        <f>기업09!L39</f>
        <v>0</v>
      </c>
      <c r="M37" s="97">
        <f>기업10!L39</f>
        <v>0</v>
      </c>
      <c r="N37" s="97">
        <f>기업11!L39</f>
        <v>0</v>
      </c>
      <c r="O37" s="97">
        <f>기업12!L39</f>
        <v>0</v>
      </c>
      <c r="P37" s="97">
        <f>기업13!L39</f>
        <v>0</v>
      </c>
      <c r="Q37" s="97">
        <f>기업14!L39</f>
        <v>0</v>
      </c>
      <c r="R37" s="97">
        <f>기업15!L39</f>
        <v>0</v>
      </c>
      <c r="S37" s="97">
        <f>기업16!L39</f>
        <v>0</v>
      </c>
      <c r="T37" s="97">
        <f>기업17!L39</f>
        <v>0</v>
      </c>
      <c r="U37" s="97">
        <f>기업18!L39</f>
        <v>0</v>
      </c>
      <c r="V37" s="97">
        <f>기업19!L39</f>
        <v>0</v>
      </c>
      <c r="W37" s="97">
        <f>기업20!L39</f>
        <v>0</v>
      </c>
      <c r="X37" s="97">
        <f>기업21!L39</f>
        <v>0</v>
      </c>
      <c r="Y37" s="97">
        <f>기업22!L39</f>
        <v>0</v>
      </c>
      <c r="Z37" s="97">
        <f>기업23!L39</f>
        <v>0</v>
      </c>
      <c r="AA37" s="97">
        <f>기업24!L39</f>
        <v>0</v>
      </c>
      <c r="AB37" s="97">
        <f>기업25!L39</f>
        <v>0</v>
      </c>
      <c r="AC37" s="97">
        <f>기업26!L39</f>
        <v>0</v>
      </c>
      <c r="AD37" s="97">
        <f>기업27!L39</f>
        <v>0</v>
      </c>
      <c r="AE37" s="97">
        <f>기업28!L39</f>
        <v>0</v>
      </c>
      <c r="AF37" s="97">
        <f>기업29!L39</f>
        <v>0</v>
      </c>
      <c r="AG37" s="97">
        <f>기업30!L39</f>
        <v>0</v>
      </c>
      <c r="AH37" s="97">
        <f>기업31!L39</f>
        <v>0</v>
      </c>
      <c r="AI37" s="97">
        <f>기업32!L39</f>
        <v>0</v>
      </c>
      <c r="AJ37" s="97">
        <f>기업33!L39</f>
        <v>0</v>
      </c>
      <c r="AK37" s="97">
        <f>기업34!L39</f>
        <v>0</v>
      </c>
      <c r="AL37" s="97">
        <f>기업35!L39</f>
        <v>0</v>
      </c>
      <c r="AM37" s="97">
        <f>기업36!L39</f>
        <v>0</v>
      </c>
      <c r="AN37" s="97">
        <f>기업37!L39</f>
        <v>0</v>
      </c>
      <c r="AO37" s="97">
        <f>기업38!L39</f>
        <v>0</v>
      </c>
      <c r="AP37" s="97">
        <f>기업39!L39</f>
        <v>0</v>
      </c>
      <c r="AQ37" s="97">
        <f>기업40!L39</f>
        <v>0</v>
      </c>
      <c r="AR37" s="97">
        <f>기업41!L39</f>
        <v>0</v>
      </c>
      <c r="AS37" s="97">
        <f>기업42!L39</f>
        <v>0</v>
      </c>
      <c r="AT37" s="97">
        <f>기업43!L39</f>
        <v>0</v>
      </c>
      <c r="AU37" s="24">
        <f>기업44!L39</f>
        <v>0</v>
      </c>
      <c r="AV37" s="24">
        <f>기업45!L39</f>
        <v>0</v>
      </c>
      <c r="AW37" s="24">
        <f>기업46!L39</f>
        <v>0</v>
      </c>
      <c r="AX37" s="24">
        <f>기업47!L39</f>
        <v>0</v>
      </c>
      <c r="AY37" s="24">
        <f>기업48!L39</f>
        <v>0</v>
      </c>
      <c r="AZ37" s="24">
        <f>기업49!L39</f>
        <v>0</v>
      </c>
      <c r="BA37" s="24">
        <f>기업50!L39</f>
        <v>0</v>
      </c>
      <c r="BB37" s="34">
        <f t="shared" si="2"/>
        <v>0</v>
      </c>
    </row>
    <row r="38" spans="1:54" ht="15.75" customHeight="1" x14ac:dyDescent="0.25">
      <c r="A38" s="81">
        <v>11</v>
      </c>
      <c r="B38" s="82" t="s">
        <v>26</v>
      </c>
      <c r="C38" s="26" t="s">
        <v>80</v>
      </c>
      <c r="D38" s="23">
        <f>기업01!L40</f>
        <v>0</v>
      </c>
      <c r="E38" s="23">
        <f>기업02!L40</f>
        <v>0</v>
      </c>
      <c r="F38" s="23">
        <f>기업03!L40</f>
        <v>0</v>
      </c>
      <c r="G38" s="23">
        <f>기업04!L40</f>
        <v>0</v>
      </c>
      <c r="H38" s="23">
        <f>기업05!L40</f>
        <v>0</v>
      </c>
      <c r="I38" s="23">
        <f>기업06!L40</f>
        <v>0</v>
      </c>
      <c r="J38" s="23">
        <f>기업07!L40</f>
        <v>0</v>
      </c>
      <c r="K38" s="23">
        <f>기업08!L40</f>
        <v>0</v>
      </c>
      <c r="L38" s="23">
        <f>기업09!L40</f>
        <v>0</v>
      </c>
      <c r="M38" s="23">
        <f>기업10!L40</f>
        <v>0</v>
      </c>
      <c r="N38" s="23">
        <f>기업11!L40</f>
        <v>0</v>
      </c>
      <c r="O38" s="23">
        <f>기업12!L40</f>
        <v>0</v>
      </c>
      <c r="P38" s="23">
        <f>기업13!L40</f>
        <v>0</v>
      </c>
      <c r="Q38" s="23">
        <f>기업14!L40</f>
        <v>0</v>
      </c>
      <c r="R38" s="23">
        <f>기업15!L40</f>
        <v>0</v>
      </c>
      <c r="S38" s="23">
        <f>기업16!L40</f>
        <v>0</v>
      </c>
      <c r="T38" s="23">
        <f>기업17!L40</f>
        <v>0</v>
      </c>
      <c r="U38" s="23">
        <f>기업18!L40</f>
        <v>0</v>
      </c>
      <c r="V38" s="23">
        <f>기업19!L40</f>
        <v>0</v>
      </c>
      <c r="W38" s="23">
        <f>기업20!L40</f>
        <v>0</v>
      </c>
      <c r="X38" s="23">
        <f>기업21!L40</f>
        <v>0</v>
      </c>
      <c r="Y38" s="23">
        <f>기업22!L40</f>
        <v>0</v>
      </c>
      <c r="Z38" s="23">
        <f>기업23!L40</f>
        <v>0</v>
      </c>
      <c r="AA38" s="23">
        <f>기업24!L40</f>
        <v>0</v>
      </c>
      <c r="AB38" s="23">
        <f>기업25!L40</f>
        <v>0</v>
      </c>
      <c r="AC38" s="23">
        <f>기업26!L40</f>
        <v>0</v>
      </c>
      <c r="AD38" s="23">
        <f>기업27!L40</f>
        <v>0</v>
      </c>
      <c r="AE38" s="23">
        <f>기업28!L40</f>
        <v>0</v>
      </c>
      <c r="AF38" s="23">
        <f>기업29!L40</f>
        <v>0</v>
      </c>
      <c r="AG38" s="23">
        <f>기업30!L40</f>
        <v>0</v>
      </c>
      <c r="AH38" s="23">
        <f>기업31!L40</f>
        <v>0</v>
      </c>
      <c r="AI38" s="23">
        <f>기업32!L40</f>
        <v>0</v>
      </c>
      <c r="AJ38" s="23">
        <f>기업33!L40</f>
        <v>0</v>
      </c>
      <c r="AK38" s="23">
        <f>기업34!L40</f>
        <v>0</v>
      </c>
      <c r="AL38" s="23">
        <f>기업35!L40</f>
        <v>0</v>
      </c>
      <c r="AM38" s="23">
        <f>기업36!L40</f>
        <v>0</v>
      </c>
      <c r="AN38" s="96">
        <f>기업37!L40</f>
        <v>0</v>
      </c>
      <c r="AO38" s="96">
        <f>기업38!L40</f>
        <v>0</v>
      </c>
      <c r="AP38" s="96">
        <f>기업39!L40</f>
        <v>0</v>
      </c>
      <c r="AQ38" s="96">
        <f>기업40!L40</f>
        <v>0</v>
      </c>
      <c r="AR38" s="96">
        <f>기업41!L40</f>
        <v>0</v>
      </c>
      <c r="AS38" s="96">
        <f>기업42!L40</f>
        <v>0</v>
      </c>
      <c r="AT38" s="96">
        <f>기업43!L40</f>
        <v>0</v>
      </c>
      <c r="AU38" s="96">
        <f>기업44!L40</f>
        <v>0</v>
      </c>
      <c r="AV38" s="96">
        <f>기업45!L40</f>
        <v>0</v>
      </c>
      <c r="AW38" s="96">
        <f>기업46!L40</f>
        <v>0</v>
      </c>
      <c r="AX38" s="96">
        <f>기업47!L40</f>
        <v>0</v>
      </c>
      <c r="AY38" s="96">
        <f>기업48!L40</f>
        <v>0</v>
      </c>
      <c r="AZ38" s="96">
        <f>기업49!L40</f>
        <v>0</v>
      </c>
      <c r="BA38" s="96">
        <f>기업50!L40</f>
        <v>0</v>
      </c>
      <c r="BB38" s="34">
        <f t="shared" si="2"/>
        <v>0</v>
      </c>
    </row>
    <row r="39" spans="1:54" ht="15.75" customHeight="1" x14ac:dyDescent="0.25">
      <c r="A39" s="81"/>
      <c r="B39" s="81"/>
      <c r="C39" s="28" t="s">
        <v>38</v>
      </c>
      <c r="D39" s="96">
        <f>기업01!L41</f>
        <v>0</v>
      </c>
      <c r="E39" s="96">
        <f>기업02!L41</f>
        <v>0</v>
      </c>
      <c r="F39" s="96">
        <f>기업03!L41</f>
        <v>0</v>
      </c>
      <c r="G39" s="96">
        <f>기업04!L41</f>
        <v>0</v>
      </c>
      <c r="H39" s="96">
        <f>기업05!L41</f>
        <v>0</v>
      </c>
      <c r="I39" s="96">
        <f>기업06!L41</f>
        <v>0</v>
      </c>
      <c r="J39" s="96">
        <f>기업07!L41</f>
        <v>0</v>
      </c>
      <c r="K39" s="96">
        <f>기업08!L41</f>
        <v>0</v>
      </c>
      <c r="L39" s="96">
        <f>기업09!L41</f>
        <v>0</v>
      </c>
      <c r="M39" s="96">
        <f>기업10!L41</f>
        <v>0</v>
      </c>
      <c r="N39" s="96">
        <f>기업11!L41</f>
        <v>0</v>
      </c>
      <c r="O39" s="96">
        <f>기업12!L41</f>
        <v>0</v>
      </c>
      <c r="P39" s="96">
        <f>기업13!L41</f>
        <v>0</v>
      </c>
      <c r="Q39" s="96">
        <f>기업14!L41</f>
        <v>0</v>
      </c>
      <c r="R39" s="96">
        <f>기업15!L41</f>
        <v>0</v>
      </c>
      <c r="S39" s="96">
        <f>기업16!L41</f>
        <v>0</v>
      </c>
      <c r="T39" s="96">
        <f>기업17!L41</f>
        <v>0</v>
      </c>
      <c r="U39" s="96">
        <f>기업18!L41</f>
        <v>0</v>
      </c>
      <c r="V39" s="96">
        <f>기업19!L41</f>
        <v>0</v>
      </c>
      <c r="W39" s="96">
        <f>기업20!L41</f>
        <v>0</v>
      </c>
      <c r="X39" s="96">
        <f>기업21!L41</f>
        <v>0</v>
      </c>
      <c r="Y39" s="96">
        <f>기업22!L41</f>
        <v>0</v>
      </c>
      <c r="Z39" s="96">
        <f>기업23!L41</f>
        <v>0</v>
      </c>
      <c r="AA39" s="96">
        <f>기업24!L41</f>
        <v>0</v>
      </c>
      <c r="AB39" s="96">
        <f>기업25!L41</f>
        <v>0</v>
      </c>
      <c r="AC39" s="96">
        <f>기업26!L41</f>
        <v>0</v>
      </c>
      <c r="AD39" s="96">
        <f>기업27!L41</f>
        <v>0</v>
      </c>
      <c r="AE39" s="96">
        <f>기업28!L41</f>
        <v>0</v>
      </c>
      <c r="AF39" s="96">
        <f>기업29!L41</f>
        <v>0</v>
      </c>
      <c r="AG39" s="96">
        <f>기업30!L41</f>
        <v>0</v>
      </c>
      <c r="AH39" s="96">
        <f>기업31!L41</f>
        <v>0</v>
      </c>
      <c r="AI39" s="96">
        <f>기업32!L41</f>
        <v>0</v>
      </c>
      <c r="AJ39" s="96">
        <f>기업33!L41</f>
        <v>0</v>
      </c>
      <c r="AK39" s="96">
        <f>기업34!L41</f>
        <v>0</v>
      </c>
      <c r="AL39" s="96">
        <f>기업35!L41</f>
        <v>0</v>
      </c>
      <c r="AM39" s="96">
        <f>기업36!L41</f>
        <v>0</v>
      </c>
      <c r="AN39" s="23">
        <f>기업37!L41</f>
        <v>0</v>
      </c>
      <c r="AO39" s="23">
        <f>기업38!L41</f>
        <v>0</v>
      </c>
      <c r="AP39" s="23">
        <f>기업39!L41</f>
        <v>0</v>
      </c>
      <c r="AQ39" s="23">
        <f>기업40!L41</f>
        <v>0</v>
      </c>
      <c r="AR39" s="23">
        <f>기업41!L41</f>
        <v>0</v>
      </c>
      <c r="AS39" s="23">
        <f>기업42!L41</f>
        <v>0</v>
      </c>
      <c r="AT39" s="23">
        <f>기업43!L41</f>
        <v>0</v>
      </c>
      <c r="AU39" s="96">
        <f>기업44!L41</f>
        <v>0</v>
      </c>
      <c r="AV39" s="96">
        <f>기업45!L41</f>
        <v>0</v>
      </c>
      <c r="AW39" s="96">
        <f>기업46!L41</f>
        <v>0</v>
      </c>
      <c r="AX39" s="96">
        <f>기업47!L41</f>
        <v>0</v>
      </c>
      <c r="AY39" s="96">
        <f>기업48!L41</f>
        <v>0</v>
      </c>
      <c r="AZ39" s="96">
        <f>기업49!L41</f>
        <v>0</v>
      </c>
      <c r="BA39" s="96">
        <f>기업50!L41</f>
        <v>0</v>
      </c>
      <c r="BB39" s="34">
        <f t="shared" si="2"/>
        <v>0</v>
      </c>
    </row>
    <row r="40" spans="1:54" ht="15.75" customHeight="1" x14ac:dyDescent="0.25">
      <c r="A40" s="81"/>
      <c r="B40" s="81"/>
      <c r="C40" s="29" t="s">
        <v>81</v>
      </c>
      <c r="D40" s="96">
        <f>기업01!L42</f>
        <v>0</v>
      </c>
      <c r="E40" s="96">
        <f>기업02!L42</f>
        <v>0</v>
      </c>
      <c r="F40" s="96">
        <f>기업03!L42</f>
        <v>0</v>
      </c>
      <c r="G40" s="96">
        <f>기업04!L42</f>
        <v>0</v>
      </c>
      <c r="H40" s="96">
        <f>기업05!L42</f>
        <v>0</v>
      </c>
      <c r="I40" s="96">
        <f>기업06!L42</f>
        <v>0</v>
      </c>
      <c r="J40" s="96">
        <f>기업07!L42</f>
        <v>0</v>
      </c>
      <c r="K40" s="96">
        <f>기업08!L42</f>
        <v>0</v>
      </c>
      <c r="L40" s="96">
        <f>기업09!L42</f>
        <v>0</v>
      </c>
      <c r="M40" s="96">
        <f>기업10!L42</f>
        <v>0</v>
      </c>
      <c r="N40" s="96">
        <f>기업11!L42</f>
        <v>0</v>
      </c>
      <c r="O40" s="96">
        <f>기업12!L42</f>
        <v>0</v>
      </c>
      <c r="P40" s="96">
        <f>기업13!L42</f>
        <v>0</v>
      </c>
      <c r="Q40" s="96">
        <f>기업14!L42</f>
        <v>0</v>
      </c>
      <c r="R40" s="96">
        <f>기업15!L42</f>
        <v>0</v>
      </c>
      <c r="S40" s="96">
        <f>기업16!L42</f>
        <v>0</v>
      </c>
      <c r="T40" s="96">
        <f>기업17!L42</f>
        <v>0</v>
      </c>
      <c r="U40" s="96">
        <f>기업18!L42</f>
        <v>0</v>
      </c>
      <c r="V40" s="96">
        <f>기업19!L42</f>
        <v>0</v>
      </c>
      <c r="W40" s="96">
        <f>기업20!L42</f>
        <v>0</v>
      </c>
      <c r="X40" s="96">
        <f>기업21!L42</f>
        <v>0</v>
      </c>
      <c r="Y40" s="96">
        <f>기업22!L42</f>
        <v>0</v>
      </c>
      <c r="Z40" s="96">
        <f>기업23!L42</f>
        <v>0</v>
      </c>
      <c r="AA40" s="96">
        <f>기업24!L42</f>
        <v>0</v>
      </c>
      <c r="AB40" s="96">
        <f>기업25!L42</f>
        <v>0</v>
      </c>
      <c r="AC40" s="96">
        <f>기업26!L42</f>
        <v>0</v>
      </c>
      <c r="AD40" s="96">
        <f>기업27!L42</f>
        <v>0</v>
      </c>
      <c r="AE40" s="96">
        <f>기업28!L42</f>
        <v>0</v>
      </c>
      <c r="AF40" s="96">
        <f>기업29!L42</f>
        <v>0</v>
      </c>
      <c r="AG40" s="96">
        <f>기업30!L42</f>
        <v>0</v>
      </c>
      <c r="AH40" s="96">
        <f>기업31!L42</f>
        <v>0</v>
      </c>
      <c r="AI40" s="96">
        <f>기업32!L42</f>
        <v>0</v>
      </c>
      <c r="AJ40" s="96">
        <f>기업33!L42</f>
        <v>0</v>
      </c>
      <c r="AK40" s="96">
        <f>기업34!L42</f>
        <v>0</v>
      </c>
      <c r="AL40" s="96">
        <f>기업35!L42</f>
        <v>0</v>
      </c>
      <c r="AM40" s="96">
        <f>기업36!L42</f>
        <v>0</v>
      </c>
      <c r="AN40" s="96">
        <f>기업37!L42</f>
        <v>0</v>
      </c>
      <c r="AO40" s="96">
        <f>기업38!L42</f>
        <v>0</v>
      </c>
      <c r="AP40" s="96">
        <f>기업39!L42</f>
        <v>0</v>
      </c>
      <c r="AQ40" s="96">
        <f>기업40!L42</f>
        <v>0</v>
      </c>
      <c r="AR40" s="96">
        <f>기업41!L42</f>
        <v>0</v>
      </c>
      <c r="AS40" s="96">
        <f>기업42!L42</f>
        <v>0</v>
      </c>
      <c r="AT40" s="96">
        <f>기업43!L42</f>
        <v>0</v>
      </c>
      <c r="AU40" s="23">
        <f>기업44!L42</f>
        <v>0</v>
      </c>
      <c r="AV40" s="23">
        <f>기업45!L42</f>
        <v>1673767.2</v>
      </c>
      <c r="AW40" s="23">
        <f>기업46!L42</f>
        <v>1673767.2</v>
      </c>
      <c r="AX40" s="23">
        <f>기업47!L42</f>
        <v>1673767.2</v>
      </c>
      <c r="AY40" s="23">
        <f>기업48!L42</f>
        <v>1673767.2</v>
      </c>
      <c r="AZ40" s="23">
        <f>기업49!L42</f>
        <v>1673767.2</v>
      </c>
      <c r="BA40" s="23">
        <f>기업50!L42</f>
        <v>1673767.2</v>
      </c>
      <c r="BB40" s="34">
        <f t="shared" si="2"/>
        <v>10042603.199999999</v>
      </c>
    </row>
    <row r="41" spans="1:54" ht="15.75" customHeight="1" x14ac:dyDescent="0.25">
      <c r="A41" s="83">
        <v>12</v>
      </c>
      <c r="B41" s="84" t="s">
        <v>27</v>
      </c>
      <c r="C41" s="26" t="s">
        <v>80</v>
      </c>
      <c r="D41" s="24">
        <f>기업01!L43</f>
        <v>0</v>
      </c>
      <c r="E41" s="24">
        <f>기업02!L43</f>
        <v>0</v>
      </c>
      <c r="F41" s="24">
        <f>기업03!L43</f>
        <v>0</v>
      </c>
      <c r="G41" s="24">
        <f>기업04!L43</f>
        <v>0</v>
      </c>
      <c r="H41" s="24">
        <f>기업05!L43</f>
        <v>0</v>
      </c>
      <c r="I41" s="24">
        <f>기업06!L43</f>
        <v>42999519.5</v>
      </c>
      <c r="J41" s="24">
        <f>기업07!L43</f>
        <v>42999519.5</v>
      </c>
      <c r="K41" s="24">
        <f>기업08!L43</f>
        <v>42999519.5</v>
      </c>
      <c r="L41" s="24">
        <f>기업09!L43</f>
        <v>42999519.5</v>
      </c>
      <c r="M41" s="24">
        <f>기업10!L43</f>
        <v>42999519.5</v>
      </c>
      <c r="N41" s="24">
        <f>기업11!L43</f>
        <v>42999519.5</v>
      </c>
      <c r="O41" s="24">
        <f>기업12!L43</f>
        <v>42999519.5</v>
      </c>
      <c r="P41" s="24">
        <f>기업13!L43</f>
        <v>42999519.5</v>
      </c>
      <c r="Q41" s="24">
        <f>기업14!L43</f>
        <v>42999519.5</v>
      </c>
      <c r="R41" s="24">
        <f>기업15!L43</f>
        <v>42999519.5</v>
      </c>
      <c r="S41" s="24">
        <f>기업16!L43</f>
        <v>42999519.5</v>
      </c>
      <c r="T41" s="24">
        <f>기업17!L43</f>
        <v>42999519.5</v>
      </c>
      <c r="U41" s="24">
        <f>기업18!L43</f>
        <v>42999519.5</v>
      </c>
      <c r="V41" s="24">
        <f>기업19!L43</f>
        <v>42999519.5</v>
      </c>
      <c r="W41" s="24">
        <f>기업20!L43</f>
        <v>42999519.5</v>
      </c>
      <c r="X41" s="24">
        <f>기업21!L43</f>
        <v>42999519.5</v>
      </c>
      <c r="Y41" s="24">
        <f>기업22!L43</f>
        <v>42999519.5</v>
      </c>
      <c r="Z41" s="24">
        <f>기업23!L43</f>
        <v>42999519.5</v>
      </c>
      <c r="AA41" s="24">
        <f>기업24!L43</f>
        <v>42999519.5</v>
      </c>
      <c r="AB41" s="24">
        <f>기업25!L43</f>
        <v>42999519.5</v>
      </c>
      <c r="AC41" s="24">
        <f>기업26!L43</f>
        <v>42999519.5</v>
      </c>
      <c r="AD41" s="24">
        <f>기업27!L43</f>
        <v>42999519.5</v>
      </c>
      <c r="AE41" s="24">
        <f>기업28!L43</f>
        <v>42999519.5</v>
      </c>
      <c r="AF41" s="24">
        <f>기업29!L43</f>
        <v>42999519.5</v>
      </c>
      <c r="AG41" s="24">
        <f>기업30!L43</f>
        <v>42999519.5</v>
      </c>
      <c r="AH41" s="24">
        <f>기업31!L43</f>
        <v>42999519.5</v>
      </c>
      <c r="AI41" s="24">
        <f>기업32!L43</f>
        <v>85999039</v>
      </c>
      <c r="AJ41" s="24">
        <f>기업33!L43</f>
        <v>85999039</v>
      </c>
      <c r="AK41" s="24">
        <f>기업34!L43</f>
        <v>85999039</v>
      </c>
      <c r="AL41" s="24">
        <f>기업35!L43</f>
        <v>85999039</v>
      </c>
      <c r="AM41" s="24">
        <f>기업36!L43</f>
        <v>85999039</v>
      </c>
      <c r="AN41" s="97">
        <f>기업37!L43</f>
        <v>0</v>
      </c>
      <c r="AO41" s="97">
        <f>기업38!L43</f>
        <v>0</v>
      </c>
      <c r="AP41" s="97">
        <f>기업39!L43</f>
        <v>0</v>
      </c>
      <c r="AQ41" s="97">
        <f>기업40!L43</f>
        <v>0</v>
      </c>
      <c r="AR41" s="97">
        <f>기업41!L43</f>
        <v>0</v>
      </c>
      <c r="AS41" s="97">
        <f>기업42!L43</f>
        <v>0</v>
      </c>
      <c r="AT41" s="97">
        <f>기업43!L43</f>
        <v>0</v>
      </c>
      <c r="AU41" s="97">
        <f>기업44!L43</f>
        <v>0</v>
      </c>
      <c r="AV41" s="97">
        <f>기업45!L43</f>
        <v>0</v>
      </c>
      <c r="AW41" s="97">
        <f>기업46!L43</f>
        <v>0</v>
      </c>
      <c r="AX41" s="97">
        <f>기업47!L43</f>
        <v>0</v>
      </c>
      <c r="AY41" s="97">
        <f>기업48!L43</f>
        <v>0</v>
      </c>
      <c r="AZ41" s="97">
        <f>기업49!L43</f>
        <v>0</v>
      </c>
      <c r="BA41" s="97">
        <f>기업50!L43</f>
        <v>0</v>
      </c>
      <c r="BB41" s="34">
        <f t="shared" si="2"/>
        <v>1547982702</v>
      </c>
    </row>
    <row r="42" spans="1:54" ht="15.75" customHeight="1" x14ac:dyDescent="0.25">
      <c r="A42" s="83"/>
      <c r="B42" s="83"/>
      <c r="C42" s="28" t="s">
        <v>38</v>
      </c>
      <c r="D42" s="97">
        <f>기업01!L44</f>
        <v>0</v>
      </c>
      <c r="E42" s="97">
        <f>기업02!L44</f>
        <v>0</v>
      </c>
      <c r="F42" s="97">
        <f>기업03!L44</f>
        <v>0</v>
      </c>
      <c r="G42" s="97">
        <f>기업04!L44</f>
        <v>0</v>
      </c>
      <c r="H42" s="97">
        <f>기업05!L44</f>
        <v>0</v>
      </c>
      <c r="I42" s="97">
        <f>기업06!L44</f>
        <v>0</v>
      </c>
      <c r="J42" s="97">
        <f>기업07!L44</f>
        <v>0</v>
      </c>
      <c r="K42" s="97">
        <f>기업08!L44</f>
        <v>0</v>
      </c>
      <c r="L42" s="97">
        <f>기업09!L44</f>
        <v>0</v>
      </c>
      <c r="M42" s="97">
        <f>기업10!L44</f>
        <v>0</v>
      </c>
      <c r="N42" s="97">
        <f>기업11!L44</f>
        <v>0</v>
      </c>
      <c r="O42" s="97">
        <f>기업12!L44</f>
        <v>0</v>
      </c>
      <c r="P42" s="97">
        <f>기업13!L44</f>
        <v>0</v>
      </c>
      <c r="Q42" s="97">
        <f>기업14!L44</f>
        <v>0</v>
      </c>
      <c r="R42" s="97">
        <f>기업15!L44</f>
        <v>0</v>
      </c>
      <c r="S42" s="97">
        <f>기업16!L44</f>
        <v>0</v>
      </c>
      <c r="T42" s="97">
        <f>기업17!L44</f>
        <v>0</v>
      </c>
      <c r="U42" s="97">
        <f>기업18!L44</f>
        <v>0</v>
      </c>
      <c r="V42" s="97">
        <f>기업19!L44</f>
        <v>0</v>
      </c>
      <c r="W42" s="97">
        <f>기업20!L44</f>
        <v>0</v>
      </c>
      <c r="X42" s="97">
        <f>기업21!L44</f>
        <v>0</v>
      </c>
      <c r="Y42" s="97">
        <f>기업22!L44</f>
        <v>0</v>
      </c>
      <c r="Z42" s="97">
        <f>기업23!L44</f>
        <v>0</v>
      </c>
      <c r="AA42" s="97">
        <f>기업24!L44</f>
        <v>0</v>
      </c>
      <c r="AB42" s="97">
        <f>기업25!L44</f>
        <v>0</v>
      </c>
      <c r="AC42" s="97">
        <f>기업26!L44</f>
        <v>0</v>
      </c>
      <c r="AD42" s="97">
        <f>기업27!L44</f>
        <v>0</v>
      </c>
      <c r="AE42" s="97">
        <f>기업28!L44</f>
        <v>0</v>
      </c>
      <c r="AF42" s="97">
        <f>기업29!L44</f>
        <v>0</v>
      </c>
      <c r="AG42" s="97">
        <f>기업30!L44</f>
        <v>0</v>
      </c>
      <c r="AH42" s="97">
        <f>기업31!L44</f>
        <v>0</v>
      </c>
      <c r="AI42" s="97">
        <f>기업32!L44</f>
        <v>0</v>
      </c>
      <c r="AJ42" s="97">
        <f>기업33!L44</f>
        <v>0</v>
      </c>
      <c r="AK42" s="97">
        <f>기업34!L44</f>
        <v>0</v>
      </c>
      <c r="AL42" s="97">
        <f>기업35!L44</f>
        <v>0</v>
      </c>
      <c r="AM42" s="97">
        <f>기업36!L44</f>
        <v>0</v>
      </c>
      <c r="AN42" s="24">
        <f>기업37!L44</f>
        <v>0</v>
      </c>
      <c r="AO42" s="24">
        <f>기업38!L44</f>
        <v>0</v>
      </c>
      <c r="AP42" s="24">
        <f>기업39!L44</f>
        <v>0</v>
      </c>
      <c r="AQ42" s="24">
        <f>기업40!L44</f>
        <v>0</v>
      </c>
      <c r="AR42" s="24">
        <f>기업41!L44</f>
        <v>0</v>
      </c>
      <c r="AS42" s="24">
        <f>기업42!L44</f>
        <v>0</v>
      </c>
      <c r="AT42" s="24">
        <f>기업43!L44</f>
        <v>0</v>
      </c>
      <c r="AU42" s="97">
        <f>기업44!L44</f>
        <v>0</v>
      </c>
      <c r="AV42" s="97">
        <f>기업45!L44</f>
        <v>0</v>
      </c>
      <c r="AW42" s="97">
        <f>기업46!L44</f>
        <v>0</v>
      </c>
      <c r="AX42" s="97">
        <f>기업47!L44</f>
        <v>0</v>
      </c>
      <c r="AY42" s="97">
        <f>기업48!L44</f>
        <v>0</v>
      </c>
      <c r="AZ42" s="97">
        <f>기업49!L44</f>
        <v>0</v>
      </c>
      <c r="BA42" s="97">
        <f>기업50!L44</f>
        <v>0</v>
      </c>
      <c r="BB42" s="34">
        <f t="shared" si="2"/>
        <v>0</v>
      </c>
    </row>
    <row r="43" spans="1:54" ht="15.75" customHeight="1" x14ac:dyDescent="0.25">
      <c r="A43" s="83"/>
      <c r="B43" s="83"/>
      <c r="C43" s="29" t="s">
        <v>81</v>
      </c>
      <c r="D43" s="97">
        <f>기업01!L45</f>
        <v>0</v>
      </c>
      <c r="E43" s="97">
        <f>기업02!L45</f>
        <v>0</v>
      </c>
      <c r="F43" s="97">
        <f>기업03!L45</f>
        <v>0</v>
      </c>
      <c r="G43" s="97">
        <f>기업04!L45</f>
        <v>0</v>
      </c>
      <c r="H43" s="97">
        <f>기업05!L45</f>
        <v>0</v>
      </c>
      <c r="I43" s="97">
        <f>기업06!L45</f>
        <v>0</v>
      </c>
      <c r="J43" s="97">
        <f>기업07!L45</f>
        <v>0</v>
      </c>
      <c r="K43" s="97">
        <f>기업08!L45</f>
        <v>0</v>
      </c>
      <c r="L43" s="97">
        <f>기업09!L45</f>
        <v>0</v>
      </c>
      <c r="M43" s="97">
        <f>기업10!L45</f>
        <v>0</v>
      </c>
      <c r="N43" s="97">
        <f>기업11!L45</f>
        <v>0</v>
      </c>
      <c r="O43" s="97">
        <f>기업12!L45</f>
        <v>0</v>
      </c>
      <c r="P43" s="97">
        <f>기업13!L45</f>
        <v>0</v>
      </c>
      <c r="Q43" s="97">
        <f>기업14!L45</f>
        <v>0</v>
      </c>
      <c r="R43" s="97">
        <f>기업15!L45</f>
        <v>0</v>
      </c>
      <c r="S43" s="97">
        <f>기업16!L45</f>
        <v>0</v>
      </c>
      <c r="T43" s="97">
        <f>기업17!L45</f>
        <v>0</v>
      </c>
      <c r="U43" s="97">
        <f>기업18!L45</f>
        <v>0</v>
      </c>
      <c r="V43" s="97">
        <f>기업19!L45</f>
        <v>0</v>
      </c>
      <c r="W43" s="97">
        <f>기업20!L45</f>
        <v>0</v>
      </c>
      <c r="X43" s="97">
        <f>기업21!L45</f>
        <v>0</v>
      </c>
      <c r="Y43" s="97">
        <f>기업22!L45</f>
        <v>0</v>
      </c>
      <c r="Z43" s="97">
        <f>기업23!L45</f>
        <v>0</v>
      </c>
      <c r="AA43" s="97">
        <f>기업24!L45</f>
        <v>0</v>
      </c>
      <c r="AB43" s="97">
        <f>기업25!L45</f>
        <v>0</v>
      </c>
      <c r="AC43" s="97">
        <f>기업26!L45</f>
        <v>0</v>
      </c>
      <c r="AD43" s="97">
        <f>기업27!L45</f>
        <v>0</v>
      </c>
      <c r="AE43" s="97">
        <f>기업28!L45</f>
        <v>0</v>
      </c>
      <c r="AF43" s="97">
        <f>기업29!L45</f>
        <v>0</v>
      </c>
      <c r="AG43" s="97">
        <f>기업30!L45</f>
        <v>0</v>
      </c>
      <c r="AH43" s="97">
        <f>기업31!L45</f>
        <v>0</v>
      </c>
      <c r="AI43" s="97">
        <f>기업32!L45</f>
        <v>0</v>
      </c>
      <c r="AJ43" s="97">
        <f>기업33!L45</f>
        <v>0</v>
      </c>
      <c r="AK43" s="97">
        <f>기업34!L45</f>
        <v>0</v>
      </c>
      <c r="AL43" s="97">
        <f>기업35!L45</f>
        <v>0</v>
      </c>
      <c r="AM43" s="97">
        <f>기업36!L45</f>
        <v>0</v>
      </c>
      <c r="AN43" s="97">
        <f>기업37!L45</f>
        <v>0</v>
      </c>
      <c r="AO43" s="97">
        <f>기업38!L45</f>
        <v>0</v>
      </c>
      <c r="AP43" s="97">
        <f>기업39!L45</f>
        <v>0</v>
      </c>
      <c r="AQ43" s="97">
        <f>기업40!L45</f>
        <v>0</v>
      </c>
      <c r="AR43" s="97">
        <f>기업41!L45</f>
        <v>0</v>
      </c>
      <c r="AS43" s="97">
        <f>기업42!L45</f>
        <v>0</v>
      </c>
      <c r="AT43" s="97">
        <f>기업43!L45</f>
        <v>0</v>
      </c>
      <c r="AU43" s="24">
        <f>기업44!L45</f>
        <v>0</v>
      </c>
      <c r="AV43" s="24">
        <f>기업45!L45</f>
        <v>0</v>
      </c>
      <c r="AW43" s="24">
        <f>기업46!L45</f>
        <v>0</v>
      </c>
      <c r="AX43" s="24">
        <f>기업47!L45</f>
        <v>0</v>
      </c>
      <c r="AY43" s="24">
        <f>기업48!L45</f>
        <v>0</v>
      </c>
      <c r="AZ43" s="24">
        <f>기업49!L45</f>
        <v>0</v>
      </c>
      <c r="BA43" s="24">
        <f>기업50!L45</f>
        <v>0</v>
      </c>
      <c r="BB43" s="34">
        <f t="shared" si="2"/>
        <v>0</v>
      </c>
    </row>
    <row r="44" spans="1:54" ht="15.75" customHeight="1" x14ac:dyDescent="0.25">
      <c r="A44" s="81">
        <v>13</v>
      </c>
      <c r="B44" s="82" t="s">
        <v>28</v>
      </c>
      <c r="C44" s="26" t="s">
        <v>80</v>
      </c>
      <c r="D44" s="23">
        <f>기업01!L46</f>
        <v>0</v>
      </c>
      <c r="E44" s="23">
        <f>기업02!L46</f>
        <v>0</v>
      </c>
      <c r="F44" s="23">
        <f>기업03!L46</f>
        <v>0</v>
      </c>
      <c r="G44" s="23">
        <f>기업04!L46</f>
        <v>0</v>
      </c>
      <c r="H44" s="23">
        <f>기업05!L46</f>
        <v>0</v>
      </c>
      <c r="I44" s="23">
        <f>기업06!L46</f>
        <v>0</v>
      </c>
      <c r="J44" s="23">
        <f>기업07!L46</f>
        <v>0</v>
      </c>
      <c r="K44" s="23">
        <f>기업08!L46</f>
        <v>0</v>
      </c>
      <c r="L44" s="23">
        <f>기업09!L46</f>
        <v>0</v>
      </c>
      <c r="M44" s="23">
        <f>기업10!L46</f>
        <v>0</v>
      </c>
      <c r="N44" s="23">
        <f>기업11!L46</f>
        <v>13732705</v>
      </c>
      <c r="O44" s="23">
        <f>기업12!L46</f>
        <v>13732705</v>
      </c>
      <c r="P44" s="23">
        <f>기업13!L46</f>
        <v>13732705</v>
      </c>
      <c r="Q44" s="23">
        <f>기업14!L46</f>
        <v>13732705</v>
      </c>
      <c r="R44" s="23">
        <f>기업15!L46</f>
        <v>13732705</v>
      </c>
      <c r="S44" s="23">
        <f>기업16!L46</f>
        <v>13732705</v>
      </c>
      <c r="T44" s="23">
        <f>기업17!L46</f>
        <v>13732705</v>
      </c>
      <c r="U44" s="23">
        <f>기업18!L46</f>
        <v>13732705</v>
      </c>
      <c r="V44" s="23">
        <f>기업19!L46</f>
        <v>13732705</v>
      </c>
      <c r="W44" s="23">
        <f>기업20!L46</f>
        <v>13732705</v>
      </c>
      <c r="X44" s="23">
        <f>기업21!L46</f>
        <v>13732705</v>
      </c>
      <c r="Y44" s="23">
        <f>기업22!L46</f>
        <v>13732705</v>
      </c>
      <c r="Z44" s="23">
        <f>기업23!L46</f>
        <v>13732705</v>
      </c>
      <c r="AA44" s="23">
        <f>기업24!L46</f>
        <v>13732705</v>
      </c>
      <c r="AB44" s="23">
        <f>기업25!L46</f>
        <v>13732705</v>
      </c>
      <c r="AC44" s="23">
        <f>기업26!L46</f>
        <v>13732705</v>
      </c>
      <c r="AD44" s="23">
        <f>기업27!L46</f>
        <v>13732705</v>
      </c>
      <c r="AE44" s="23">
        <f>기업28!L46</f>
        <v>13732705</v>
      </c>
      <c r="AF44" s="23">
        <f>기업29!L46</f>
        <v>13732705</v>
      </c>
      <c r="AG44" s="23">
        <f>기업30!L46</f>
        <v>13732705</v>
      </c>
      <c r="AH44" s="23">
        <f>기업31!L46</f>
        <v>13732705</v>
      </c>
      <c r="AI44" s="23">
        <f>기업32!L46</f>
        <v>27465410</v>
      </c>
      <c r="AJ44" s="23">
        <f>기업33!L46</f>
        <v>27465410</v>
      </c>
      <c r="AK44" s="23">
        <f>기업34!L46</f>
        <v>27465410</v>
      </c>
      <c r="AL44" s="23">
        <f>기업35!L46</f>
        <v>27465410</v>
      </c>
      <c r="AM44" s="23">
        <f>기업36!L46</f>
        <v>27465410</v>
      </c>
      <c r="AN44" s="96">
        <f>기업37!L46</f>
        <v>0</v>
      </c>
      <c r="AO44" s="96">
        <f>기업38!L46</f>
        <v>0</v>
      </c>
      <c r="AP44" s="96">
        <f>기업39!L46</f>
        <v>0</v>
      </c>
      <c r="AQ44" s="96">
        <f>기업40!L46</f>
        <v>0</v>
      </c>
      <c r="AR44" s="96">
        <f>기업41!L46</f>
        <v>0</v>
      </c>
      <c r="AS44" s="96">
        <f>기업42!L46</f>
        <v>0</v>
      </c>
      <c r="AT44" s="96">
        <f>기업43!L46</f>
        <v>0</v>
      </c>
      <c r="AU44" s="96">
        <f>기업44!L46</f>
        <v>0</v>
      </c>
      <c r="AV44" s="96">
        <f>기업45!L46</f>
        <v>0</v>
      </c>
      <c r="AW44" s="96">
        <f>기업46!L46</f>
        <v>0</v>
      </c>
      <c r="AX44" s="96">
        <f>기업47!L46</f>
        <v>0</v>
      </c>
      <c r="AY44" s="96">
        <f>기업48!L46</f>
        <v>0</v>
      </c>
      <c r="AZ44" s="96">
        <f>기업49!L46</f>
        <v>0</v>
      </c>
      <c r="BA44" s="96">
        <f>기업50!L46</f>
        <v>0</v>
      </c>
      <c r="BB44" s="34">
        <f t="shared" si="2"/>
        <v>425713855</v>
      </c>
    </row>
    <row r="45" spans="1:54" ht="15.75" customHeight="1" x14ac:dyDescent="0.25">
      <c r="A45" s="81"/>
      <c r="B45" s="81"/>
      <c r="C45" s="28" t="s">
        <v>38</v>
      </c>
      <c r="D45" s="96">
        <f>기업01!L47</f>
        <v>0</v>
      </c>
      <c r="E45" s="96">
        <f>기업02!L47</f>
        <v>0</v>
      </c>
      <c r="F45" s="96">
        <f>기업03!L47</f>
        <v>0</v>
      </c>
      <c r="G45" s="96">
        <f>기업04!L47</f>
        <v>0</v>
      </c>
      <c r="H45" s="96">
        <f>기업05!L47</f>
        <v>0</v>
      </c>
      <c r="I45" s="96">
        <f>기업06!L47</f>
        <v>0</v>
      </c>
      <c r="J45" s="96">
        <f>기업07!L47</f>
        <v>0</v>
      </c>
      <c r="K45" s="96">
        <f>기업08!L47</f>
        <v>0</v>
      </c>
      <c r="L45" s="96">
        <f>기업09!L47</f>
        <v>0</v>
      </c>
      <c r="M45" s="96">
        <f>기업10!L47</f>
        <v>0</v>
      </c>
      <c r="N45" s="96">
        <f>기업11!L47</f>
        <v>0</v>
      </c>
      <c r="O45" s="96">
        <f>기업12!L47</f>
        <v>0</v>
      </c>
      <c r="P45" s="96">
        <f>기업13!L47</f>
        <v>0</v>
      </c>
      <c r="Q45" s="96">
        <f>기업14!L47</f>
        <v>0</v>
      </c>
      <c r="R45" s="96">
        <f>기업15!L47</f>
        <v>0</v>
      </c>
      <c r="S45" s="96">
        <f>기업16!L47</f>
        <v>0</v>
      </c>
      <c r="T45" s="96">
        <f>기업17!L47</f>
        <v>0</v>
      </c>
      <c r="U45" s="96">
        <f>기업18!L47</f>
        <v>0</v>
      </c>
      <c r="V45" s="96">
        <f>기업19!L47</f>
        <v>0</v>
      </c>
      <c r="W45" s="96">
        <f>기업20!L47</f>
        <v>0</v>
      </c>
      <c r="X45" s="96">
        <f>기업21!L47</f>
        <v>0</v>
      </c>
      <c r="Y45" s="96">
        <f>기업22!L47</f>
        <v>0</v>
      </c>
      <c r="Z45" s="96">
        <f>기업23!L47</f>
        <v>0</v>
      </c>
      <c r="AA45" s="96">
        <f>기업24!L47</f>
        <v>0</v>
      </c>
      <c r="AB45" s="96">
        <f>기업25!L47</f>
        <v>0</v>
      </c>
      <c r="AC45" s="96">
        <f>기업26!L47</f>
        <v>0</v>
      </c>
      <c r="AD45" s="96">
        <f>기업27!L47</f>
        <v>0</v>
      </c>
      <c r="AE45" s="96">
        <f>기업28!L47</f>
        <v>0</v>
      </c>
      <c r="AF45" s="96">
        <f>기업29!L47</f>
        <v>0</v>
      </c>
      <c r="AG45" s="96">
        <f>기업30!L47</f>
        <v>0</v>
      </c>
      <c r="AH45" s="96">
        <f>기업31!L47</f>
        <v>0</v>
      </c>
      <c r="AI45" s="96">
        <f>기업32!L47</f>
        <v>0</v>
      </c>
      <c r="AJ45" s="96">
        <f>기업33!L47</f>
        <v>0</v>
      </c>
      <c r="AK45" s="96">
        <f>기업34!L47</f>
        <v>0</v>
      </c>
      <c r="AL45" s="96">
        <f>기업35!L47</f>
        <v>0</v>
      </c>
      <c r="AM45" s="96">
        <f>기업36!L47</f>
        <v>0</v>
      </c>
      <c r="AN45" s="23">
        <f>기업37!L47</f>
        <v>0</v>
      </c>
      <c r="AO45" s="23">
        <f>기업38!L47</f>
        <v>0</v>
      </c>
      <c r="AP45" s="23">
        <f>기업39!L47</f>
        <v>0</v>
      </c>
      <c r="AQ45" s="23">
        <f>기업40!L47</f>
        <v>0</v>
      </c>
      <c r="AR45" s="23">
        <f>기업41!L47</f>
        <v>0</v>
      </c>
      <c r="AS45" s="23">
        <f>기업42!L47</f>
        <v>0</v>
      </c>
      <c r="AT45" s="23">
        <f>기업43!L47</f>
        <v>0</v>
      </c>
      <c r="AU45" s="96">
        <f>기업44!L47</f>
        <v>0</v>
      </c>
      <c r="AV45" s="96">
        <f>기업45!L47</f>
        <v>0</v>
      </c>
      <c r="AW45" s="96">
        <f>기업46!L47</f>
        <v>0</v>
      </c>
      <c r="AX45" s="96">
        <f>기업47!L47</f>
        <v>0</v>
      </c>
      <c r="AY45" s="96">
        <f>기업48!L47</f>
        <v>0</v>
      </c>
      <c r="AZ45" s="96">
        <f>기업49!L47</f>
        <v>0</v>
      </c>
      <c r="BA45" s="96">
        <f>기업50!L47</f>
        <v>0</v>
      </c>
      <c r="BB45" s="34">
        <f t="shared" si="2"/>
        <v>0</v>
      </c>
    </row>
    <row r="46" spans="1:54" ht="15.75" customHeight="1" x14ac:dyDescent="0.25">
      <c r="A46" s="85"/>
      <c r="B46" s="85"/>
      <c r="C46" s="29" t="s">
        <v>81</v>
      </c>
      <c r="D46" s="96">
        <f>기업01!L48</f>
        <v>0</v>
      </c>
      <c r="E46" s="96">
        <f>기업02!L48</f>
        <v>0</v>
      </c>
      <c r="F46" s="96">
        <f>기업03!L48</f>
        <v>0</v>
      </c>
      <c r="G46" s="96">
        <f>기업04!L48</f>
        <v>0</v>
      </c>
      <c r="H46" s="96">
        <f>기업05!L48</f>
        <v>0</v>
      </c>
      <c r="I46" s="96">
        <f>기업06!L48</f>
        <v>0</v>
      </c>
      <c r="J46" s="96">
        <f>기업07!L48</f>
        <v>0</v>
      </c>
      <c r="K46" s="96">
        <f>기업08!L48</f>
        <v>0</v>
      </c>
      <c r="L46" s="96">
        <f>기업09!L48</f>
        <v>0</v>
      </c>
      <c r="M46" s="96">
        <f>기업10!L48</f>
        <v>0</v>
      </c>
      <c r="N46" s="96">
        <f>기업11!L48</f>
        <v>0</v>
      </c>
      <c r="O46" s="96">
        <f>기업12!L48</f>
        <v>0</v>
      </c>
      <c r="P46" s="96">
        <f>기업13!L48</f>
        <v>0</v>
      </c>
      <c r="Q46" s="96">
        <f>기업14!L48</f>
        <v>0</v>
      </c>
      <c r="R46" s="96">
        <f>기업15!L48</f>
        <v>0</v>
      </c>
      <c r="S46" s="96">
        <f>기업16!L48</f>
        <v>0</v>
      </c>
      <c r="T46" s="96">
        <f>기업17!L48</f>
        <v>0</v>
      </c>
      <c r="U46" s="96">
        <f>기업18!L48</f>
        <v>0</v>
      </c>
      <c r="V46" s="96">
        <f>기업19!L48</f>
        <v>0</v>
      </c>
      <c r="W46" s="96">
        <f>기업20!L48</f>
        <v>0</v>
      </c>
      <c r="X46" s="96">
        <f>기업21!L48</f>
        <v>0</v>
      </c>
      <c r="Y46" s="96">
        <f>기업22!L48</f>
        <v>0</v>
      </c>
      <c r="Z46" s="96">
        <f>기업23!L48</f>
        <v>0</v>
      </c>
      <c r="AA46" s="96">
        <f>기업24!L48</f>
        <v>0</v>
      </c>
      <c r="AB46" s="96">
        <f>기업25!L48</f>
        <v>0</v>
      </c>
      <c r="AC46" s="96">
        <f>기업26!L48</f>
        <v>0</v>
      </c>
      <c r="AD46" s="96">
        <f>기업27!L48</f>
        <v>0</v>
      </c>
      <c r="AE46" s="96">
        <f>기업28!L48</f>
        <v>0</v>
      </c>
      <c r="AF46" s="96">
        <f>기업29!L48</f>
        <v>0</v>
      </c>
      <c r="AG46" s="96">
        <f>기업30!L48</f>
        <v>0</v>
      </c>
      <c r="AH46" s="96">
        <f>기업31!L48</f>
        <v>0</v>
      </c>
      <c r="AI46" s="96">
        <f>기업32!L48</f>
        <v>0</v>
      </c>
      <c r="AJ46" s="96">
        <f>기업33!L48</f>
        <v>0</v>
      </c>
      <c r="AK46" s="96">
        <f>기업34!L48</f>
        <v>0</v>
      </c>
      <c r="AL46" s="96">
        <f>기업35!L48</f>
        <v>0</v>
      </c>
      <c r="AM46" s="96">
        <f>기업36!L48</f>
        <v>0</v>
      </c>
      <c r="AN46" s="96">
        <f>기업37!L48</f>
        <v>0</v>
      </c>
      <c r="AO46" s="96">
        <f>기업38!L48</f>
        <v>0</v>
      </c>
      <c r="AP46" s="96">
        <f>기업39!L48</f>
        <v>0</v>
      </c>
      <c r="AQ46" s="96">
        <f>기업40!L48</f>
        <v>0</v>
      </c>
      <c r="AR46" s="96">
        <f>기업41!L48</f>
        <v>0</v>
      </c>
      <c r="AS46" s="96">
        <f>기업42!L48</f>
        <v>0</v>
      </c>
      <c r="AT46" s="96">
        <f>기업43!L48</f>
        <v>0</v>
      </c>
      <c r="AU46" s="23">
        <f>기업44!L48</f>
        <v>0</v>
      </c>
      <c r="AV46" s="23">
        <f>기업45!L48</f>
        <v>2942722.5</v>
      </c>
      <c r="AW46" s="23">
        <f>기업46!L48</f>
        <v>2942722.5</v>
      </c>
      <c r="AX46" s="23">
        <f>기업47!L48</f>
        <v>2942722.5</v>
      </c>
      <c r="AY46" s="23">
        <f>기업48!L48</f>
        <v>2942722.5</v>
      </c>
      <c r="AZ46" s="23">
        <f>기업49!L48</f>
        <v>2942722.5</v>
      </c>
      <c r="BA46" s="23">
        <f>기업50!L48</f>
        <v>2942722.5</v>
      </c>
      <c r="BB46" s="34">
        <f t="shared" si="2"/>
        <v>17656335</v>
      </c>
    </row>
    <row r="47" spans="1:54" x14ac:dyDescent="0.25"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</row>
    <row r="48" spans="1:54" ht="24" customHeight="1" x14ac:dyDescent="0.25">
      <c r="A48" s="78" t="s">
        <v>62</v>
      </c>
      <c r="B48" s="78"/>
      <c r="C48" s="32"/>
      <c r="D48" s="34">
        <f>기업01!L50</f>
        <v>213996559.74999997</v>
      </c>
      <c r="E48" s="34">
        <f>기업02!L50</f>
        <v>302578752.69999999</v>
      </c>
      <c r="F48" s="34">
        <f>기업03!L50</f>
        <v>302578752.69999999</v>
      </c>
      <c r="G48" s="34">
        <f>기업04!L50</f>
        <v>302578752.69999999</v>
      </c>
      <c r="H48" s="34">
        <f>기업05!L50</f>
        <v>396856305.99999994</v>
      </c>
      <c r="I48" s="34">
        <f>기업06!L50</f>
        <v>439855825.49999994</v>
      </c>
      <c r="J48" s="34">
        <f>기업07!L50</f>
        <v>439855825.49999994</v>
      </c>
      <c r="K48" s="34">
        <f>기업08!L50</f>
        <v>439855825.49999994</v>
      </c>
      <c r="L48" s="34">
        <f>기업09!L50</f>
        <v>439855825.49999994</v>
      </c>
      <c r="M48" s="34">
        <f>기업10!L50</f>
        <v>456019962.30000001</v>
      </c>
      <c r="N48" s="34">
        <f>기업11!L50</f>
        <v>469752667.30000001</v>
      </c>
      <c r="O48" s="34">
        <f>기업12!L50</f>
        <v>469752667.30000001</v>
      </c>
      <c r="P48" s="34">
        <f>기업13!L50</f>
        <v>204045694.29999998</v>
      </c>
      <c r="Q48" s="34">
        <f>기업14!L50</f>
        <v>204045694.29999998</v>
      </c>
      <c r="R48" s="34">
        <f>기업15!L50</f>
        <v>204045694.29999998</v>
      </c>
      <c r="S48" s="34">
        <f>기업16!L50</f>
        <v>204045694.29999998</v>
      </c>
      <c r="T48" s="34">
        <f>기업17!L50</f>
        <v>204045694.29999998</v>
      </c>
      <c r="U48" s="34">
        <f>기업18!L50</f>
        <v>204045694.29999998</v>
      </c>
      <c r="V48" s="34">
        <f>기업19!L50</f>
        <v>204045694.29999998</v>
      </c>
      <c r="W48" s="34">
        <f>기업20!L50</f>
        <v>204045694.29999998</v>
      </c>
      <c r="X48" s="34">
        <f>기업21!L50</f>
        <v>204045694.29999998</v>
      </c>
      <c r="Y48" s="34">
        <f>기업22!L50</f>
        <v>204045694.29999998</v>
      </c>
      <c r="Z48" s="34">
        <f>기업23!L50</f>
        <v>204045694.29999998</v>
      </c>
      <c r="AA48" s="34">
        <f>기업24!L50</f>
        <v>204045694.29999998</v>
      </c>
      <c r="AB48" s="34">
        <f>기업25!L50</f>
        <v>204045694.29999998</v>
      </c>
      <c r="AC48" s="34">
        <f>기업26!L50</f>
        <v>204045694.29999998</v>
      </c>
      <c r="AD48" s="34">
        <f>기업27!L50</f>
        <v>204045694.29999998</v>
      </c>
      <c r="AE48" s="34">
        <f>기업28!L50</f>
        <v>204045694.29999998</v>
      </c>
      <c r="AF48" s="34">
        <f>기업29!L50</f>
        <v>204045694.29999998</v>
      </c>
      <c r="AG48" s="34">
        <f>기업30!L50</f>
        <v>204045694.29999998</v>
      </c>
      <c r="AH48" s="34">
        <f>기업31!L50</f>
        <v>204045694.29999998</v>
      </c>
      <c r="AI48" s="34">
        <f>기업32!L50</f>
        <v>308728970.89999998</v>
      </c>
      <c r="AJ48" s="34">
        <f>기업33!L50</f>
        <v>308728970.89999998</v>
      </c>
      <c r="AK48" s="34">
        <f>기업34!L50</f>
        <v>308728970.89999998</v>
      </c>
      <c r="AL48" s="34">
        <f>기업35!L50</f>
        <v>308728970.89999998</v>
      </c>
      <c r="AM48" s="34">
        <f>기업36!L50</f>
        <v>308728970.89999998</v>
      </c>
      <c r="AN48" s="34">
        <f>기업37!L50</f>
        <v>46010650.5</v>
      </c>
      <c r="AO48" s="34">
        <f>기업38!L50</f>
        <v>44002541.849999994</v>
      </c>
      <c r="AP48" s="34">
        <f>기업39!L50</f>
        <v>44002541.849999994</v>
      </c>
      <c r="AQ48" s="34">
        <f>기업40!L50</f>
        <v>44002541.849999994</v>
      </c>
      <c r="AR48" s="34">
        <f>기업41!L50</f>
        <v>47466285.450000003</v>
      </c>
      <c r="AS48" s="34">
        <f>기업42!L50</f>
        <v>47466285.450000003</v>
      </c>
      <c r="AT48" s="34">
        <f>기업43!L50</f>
        <v>47466285.450000003</v>
      </c>
      <c r="AU48" s="34">
        <f>기업44!L50</f>
        <v>36301247.550000004</v>
      </c>
      <c r="AV48" s="34">
        <f>기업45!L50</f>
        <v>75996569.099999994</v>
      </c>
      <c r="AW48" s="34">
        <f>기업46!L50</f>
        <v>75996569.099999994</v>
      </c>
      <c r="AX48" s="34">
        <f>기업47!L50</f>
        <v>75996569.099999994</v>
      </c>
      <c r="AY48" s="34">
        <f>기업48!L50</f>
        <v>75996569.099999994</v>
      </c>
      <c r="AZ48" s="34">
        <f>기업49!L50</f>
        <v>75996569.099999994</v>
      </c>
      <c r="BA48" s="34">
        <f>기업50!L50</f>
        <v>64771765.5</v>
      </c>
      <c r="BB48" s="36">
        <f>D48+E48+F48+G48+H48+I48+J48+K48+L48+M48+N48+O48+P48+Q48+R48+S48+T48+U48+V48+W48+X48+Y48+Z48+AA48+AB48+AC48+AD48+AE48+AF48+AG48+AH48+AI48+AJ48+AK48+AL48+AM48+AN48+AO48+AP48+AQ48+AR48+AS48+AT48+AU48+AV48+AW48+AX48+AY48+AZ48+BA48</f>
        <v>10895523759.900007</v>
      </c>
    </row>
    <row r="49" spans="1:54" ht="25.5" customHeight="1" x14ac:dyDescent="0.25">
      <c r="A49" s="86" t="s">
        <v>29</v>
      </c>
      <c r="B49" s="86"/>
      <c r="C49" s="33"/>
      <c r="D49" s="87" t="str">
        <f>IF(BB48&gt;=G5,"✅ 최대 성과목표 달성",IF(BB48&gt;E5,"🔵 성공 구간 달성","❌ 성과 미달"))</f>
        <v>✅ 최대 성과목표 달성</v>
      </c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</row>
    <row r="50" spans="1:54" x14ac:dyDescent="0.25">
      <c r="A50" s="86" t="s">
        <v>63</v>
      </c>
      <c r="B50" s="86"/>
      <c r="C50" s="33"/>
      <c r="D50" s="88">
        <f>IF(G5&gt;0,BB48/G5*100,"")</f>
        <v>165.0836933318183</v>
      </c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</row>
  </sheetData>
  <mergeCells count="34">
    <mergeCell ref="A48:B48"/>
    <mergeCell ref="A49:B49"/>
    <mergeCell ref="D49:BB49"/>
    <mergeCell ref="A50:B50"/>
    <mergeCell ref="D50:BB50"/>
    <mergeCell ref="A38:A40"/>
    <mergeCell ref="B38:B40"/>
    <mergeCell ref="A41:A43"/>
    <mergeCell ref="B41:B43"/>
    <mergeCell ref="A44:A46"/>
    <mergeCell ref="B44:B46"/>
    <mergeCell ref="A29:A31"/>
    <mergeCell ref="B29:B31"/>
    <mergeCell ref="A32:A34"/>
    <mergeCell ref="B32:B34"/>
    <mergeCell ref="A35:A37"/>
    <mergeCell ref="B35:B37"/>
    <mergeCell ref="A20:A22"/>
    <mergeCell ref="B20:B22"/>
    <mergeCell ref="A23:A25"/>
    <mergeCell ref="B23:B25"/>
    <mergeCell ref="A26:A28"/>
    <mergeCell ref="B26:B28"/>
    <mergeCell ref="A11:A13"/>
    <mergeCell ref="B11:B13"/>
    <mergeCell ref="A14:A16"/>
    <mergeCell ref="B14:B16"/>
    <mergeCell ref="A17:A19"/>
    <mergeCell ref="B17:B19"/>
    <mergeCell ref="A1:BB1"/>
    <mergeCell ref="A2:BB2"/>
    <mergeCell ref="D4:G4"/>
    <mergeCell ref="A8:A10"/>
    <mergeCell ref="B8:B10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zoomScale="90" zoomScaleNormal="90" workbookViewId="0">
      <selection activeCell="G19" sqref="G19:G20"/>
    </sheetView>
  </sheetViews>
  <sheetFormatPr defaultColWidth="8.7109375" defaultRowHeight="13.5" x14ac:dyDescent="0.25"/>
  <cols>
    <col min="1" max="1" width="7" style="16" customWidth="1"/>
    <col min="2" max="2" width="14.28515625" style="16" customWidth="1"/>
    <col min="3" max="3" width="15.140625" style="16" customWidth="1"/>
    <col min="4" max="6" width="16.7109375" style="16" customWidth="1"/>
    <col min="7" max="16384" width="8.7109375" style="16"/>
  </cols>
  <sheetData>
    <row r="1" spans="1:6" x14ac:dyDescent="0.25">
      <c r="A1" s="78" t="s">
        <v>64</v>
      </c>
      <c r="B1" s="78"/>
      <c r="C1" s="78"/>
      <c r="D1" s="78"/>
      <c r="E1" s="78"/>
      <c r="F1" s="78"/>
    </row>
    <row r="3" spans="1:6" x14ac:dyDescent="0.25">
      <c r="A3" s="86" t="s">
        <v>30</v>
      </c>
      <c r="B3" s="86"/>
      <c r="C3" s="86"/>
      <c r="D3" s="86"/>
      <c r="E3" s="86"/>
      <c r="F3" s="86"/>
    </row>
    <row r="4" spans="1:6" ht="30" customHeight="1" x14ac:dyDescent="0.25">
      <c r="A4" s="20" t="s">
        <v>16</v>
      </c>
      <c r="B4" s="20" t="s">
        <v>31</v>
      </c>
      <c r="C4" s="20" t="s">
        <v>65</v>
      </c>
      <c r="D4" s="20" t="s">
        <v>66</v>
      </c>
      <c r="E4" s="20" t="s">
        <v>67</v>
      </c>
      <c r="F4" s="20" t="s">
        <v>68</v>
      </c>
    </row>
    <row r="5" spans="1:6" x14ac:dyDescent="0.25">
      <c r="A5" s="8">
        <v>1</v>
      </c>
      <c r="B5" s="21" t="s">
        <v>19</v>
      </c>
      <c r="C5" s="23">
        <v>37216793</v>
      </c>
      <c r="D5" s="10">
        <v>0.7</v>
      </c>
      <c r="E5" s="10">
        <v>0.15</v>
      </c>
      <c r="F5" s="10">
        <v>0.15</v>
      </c>
    </row>
    <row r="6" spans="1:6" x14ac:dyDescent="0.25">
      <c r="A6" s="11">
        <v>2</v>
      </c>
      <c r="B6" s="22" t="s">
        <v>20</v>
      </c>
      <c r="C6" s="24">
        <v>13387391</v>
      </c>
      <c r="D6" s="13">
        <v>0.7</v>
      </c>
      <c r="E6" s="13">
        <v>0.15</v>
      </c>
      <c r="F6" s="13">
        <v>0.15</v>
      </c>
    </row>
    <row r="7" spans="1:6" x14ac:dyDescent="0.25">
      <c r="A7" s="8">
        <v>3</v>
      </c>
      <c r="B7" s="21" t="s">
        <v>59</v>
      </c>
      <c r="C7" s="23">
        <v>35663798</v>
      </c>
      <c r="D7" s="10">
        <v>0.7</v>
      </c>
      <c r="E7" s="10">
        <v>0.15</v>
      </c>
      <c r="F7" s="10">
        <v>0.15</v>
      </c>
    </row>
    <row r="8" spans="1:6" x14ac:dyDescent="0.25">
      <c r="A8" s="11">
        <v>4</v>
      </c>
      <c r="B8" s="22" t="s">
        <v>21</v>
      </c>
      <c r="C8" s="24">
        <v>24227840</v>
      </c>
      <c r="D8" s="13">
        <v>0.7</v>
      </c>
      <c r="E8" s="13">
        <v>0.15</v>
      </c>
      <c r="F8" s="13">
        <v>0.15</v>
      </c>
    </row>
    <row r="9" spans="1:6" x14ac:dyDescent="0.25">
      <c r="A9" s="8">
        <v>5</v>
      </c>
      <c r="B9" s="21" t="s">
        <v>22</v>
      </c>
      <c r="C9" s="23">
        <v>23091624</v>
      </c>
      <c r="D9" s="10">
        <v>0.7</v>
      </c>
      <c r="E9" s="10">
        <v>0.15</v>
      </c>
      <c r="F9" s="10">
        <v>0.15</v>
      </c>
    </row>
    <row r="10" spans="1:6" x14ac:dyDescent="0.25">
      <c r="A10" s="11">
        <v>6</v>
      </c>
      <c r="B10" s="22" t="s">
        <v>23</v>
      </c>
      <c r="C10" s="24">
        <v>75765595</v>
      </c>
      <c r="D10" s="13">
        <v>0.7</v>
      </c>
      <c r="E10" s="13">
        <v>0.15</v>
      </c>
      <c r="F10" s="13">
        <v>0.15</v>
      </c>
    </row>
    <row r="11" spans="1:6" x14ac:dyDescent="0.25">
      <c r="A11" s="8">
        <v>7</v>
      </c>
      <c r="B11" s="21" t="s">
        <v>24</v>
      </c>
      <c r="C11" s="23">
        <v>21532128</v>
      </c>
      <c r="D11" s="10">
        <v>0.7</v>
      </c>
      <c r="E11" s="10">
        <v>0.15</v>
      </c>
      <c r="F11" s="10">
        <v>0.15</v>
      </c>
    </row>
    <row r="12" spans="1:6" x14ac:dyDescent="0.25">
      <c r="A12" s="11">
        <v>8</v>
      </c>
      <c r="B12" s="22" t="s">
        <v>60</v>
      </c>
      <c r="C12" s="24">
        <v>11123148</v>
      </c>
      <c r="D12" s="13">
        <v>0.7</v>
      </c>
      <c r="E12" s="13">
        <v>0.15</v>
      </c>
      <c r="F12" s="13">
        <v>0.15</v>
      </c>
    </row>
    <row r="13" spans="1:6" x14ac:dyDescent="0.25">
      <c r="A13" s="8">
        <v>9</v>
      </c>
      <c r="B13" s="21" t="s">
        <v>61</v>
      </c>
      <c r="C13" s="23">
        <v>98121824</v>
      </c>
      <c r="D13" s="10">
        <v>0.7</v>
      </c>
      <c r="E13" s="10">
        <v>0.15</v>
      </c>
      <c r="F13" s="10">
        <v>0.15</v>
      </c>
    </row>
    <row r="14" spans="1:6" x14ac:dyDescent="0.25">
      <c r="A14" s="11">
        <v>10</v>
      </c>
      <c r="B14" s="22" t="s">
        <v>25</v>
      </c>
      <c r="C14" s="24">
        <v>25437247</v>
      </c>
      <c r="D14" s="13">
        <v>0.7</v>
      </c>
      <c r="E14" s="13">
        <v>0.15</v>
      </c>
      <c r="F14" s="13">
        <v>0.15</v>
      </c>
    </row>
    <row r="15" spans="1:6" x14ac:dyDescent="0.25">
      <c r="A15" s="8">
        <v>11</v>
      </c>
      <c r="B15" s="21" t="s">
        <v>26</v>
      </c>
      <c r="C15" s="23">
        <v>11158448</v>
      </c>
      <c r="D15" s="10">
        <v>0.7</v>
      </c>
      <c r="E15" s="10">
        <v>0.15</v>
      </c>
      <c r="F15" s="10">
        <v>0.15</v>
      </c>
    </row>
    <row r="16" spans="1:6" x14ac:dyDescent="0.25">
      <c r="A16" s="11">
        <v>12</v>
      </c>
      <c r="B16" s="22" t="s">
        <v>27</v>
      </c>
      <c r="C16" s="24">
        <v>61427885</v>
      </c>
      <c r="D16" s="13">
        <v>0.7</v>
      </c>
      <c r="E16" s="13">
        <v>0.15</v>
      </c>
      <c r="F16" s="13">
        <v>0.15</v>
      </c>
    </row>
    <row r="17" spans="1:6" x14ac:dyDescent="0.25">
      <c r="A17" s="8">
        <v>13</v>
      </c>
      <c r="B17" s="21" t="s">
        <v>28</v>
      </c>
      <c r="C17" s="23">
        <v>19618150</v>
      </c>
      <c r="D17" s="10">
        <v>0.7</v>
      </c>
      <c r="E17" s="10">
        <v>0.15</v>
      </c>
      <c r="F17" s="10">
        <v>0.15</v>
      </c>
    </row>
  </sheetData>
  <mergeCells count="2">
    <mergeCell ref="A1:F1"/>
    <mergeCell ref="A3:F3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"/>
  <sheetViews>
    <sheetView tabSelected="1" zoomScale="90" zoomScaleNormal="9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sqref="A1:L1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11" width="11.855468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69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71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1</v>
      </c>
      <c r="H10" s="27">
        <v>1</v>
      </c>
      <c r="I10" s="27">
        <v>2</v>
      </c>
      <c r="J10" s="27">
        <v>2</v>
      </c>
      <c r="K10" s="27">
        <v>2</v>
      </c>
      <c r="L10" s="14">
        <f t="shared" ref="L10:L48" si="0">IF(ISNUMBER(G10),F10*G10,0)+IF(ISNUMBER(H10),F10*H10,0)+IF(ISNUMBER(I10),F10*I10,0)+IF(ISNUMBER(J10),F10*J10,0)+IF(ISNUMBER(K10),F10*K10,0)</f>
        <v>208414040.79999998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1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5582518.9500000002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0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0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14">
        <f t="shared" si="0"/>
        <v>0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14">
        <f t="shared" si="0"/>
        <v>0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14">
        <f t="shared" si="0"/>
        <v>0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31634274.049999997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26051755.099999998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52103510.199999996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52103510.199999996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52103510.199999996</v>
      </c>
      <c r="L50" s="30">
        <f>G50+H50+I50+J50+K50</f>
        <v>213996559.74999997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0"/>
  <sheetViews>
    <sheetView zoomScale="90" zoomScaleNormal="9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3.140625" style="16" bestFit="1" customWidth="1"/>
    <col min="8" max="11" width="11.855468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83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84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1</v>
      </c>
      <c r="H10" s="27">
        <v>1</v>
      </c>
      <c r="I10" s="27">
        <v>2</v>
      </c>
      <c r="J10" s="27">
        <v>2</v>
      </c>
      <c r="K10" s="27">
        <v>2</v>
      </c>
      <c r="L10" s="14">
        <f t="shared" ref="L10:L48" si="0">IF(ISNUMBER(G10),F10*G10,0)+IF(ISNUMBER(H10),F10*H10,0)+IF(ISNUMBER(I10),F10*I10,0)+IF(ISNUMBER(J10),F10*J10,0)+IF(ISNUMBER(K10),F10*K10,0)</f>
        <v>208414040.79999998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1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24964658.599999998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1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16164136.799999999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0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14">
        <f t="shared" si="0"/>
        <v>0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14">
        <f t="shared" si="0"/>
        <v>0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14">
        <f t="shared" si="0"/>
        <v>0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120216467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26051755.099999998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52103510.199999996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52103510.199999996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52103510.199999996</v>
      </c>
      <c r="L50" s="30">
        <f>G50+H50+I50+J50+K50</f>
        <v>302578752.69999999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0"/>
  <sheetViews>
    <sheetView zoomScale="90" zoomScaleNormal="90" workbookViewId="0">
      <pane xSplit="6" ySplit="9" topLeftCell="G31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3.140625" style="16" bestFit="1" customWidth="1"/>
    <col min="8" max="11" width="11.855468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85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86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1</v>
      </c>
      <c r="H10" s="27">
        <v>1</v>
      </c>
      <c r="I10" s="27">
        <v>2</v>
      </c>
      <c r="J10" s="27">
        <v>2</v>
      </c>
      <c r="K10" s="27">
        <v>2</v>
      </c>
      <c r="L10" s="14">
        <f t="shared" ref="L10:L48" si="0">IF(ISNUMBER(G10),F10*G10,0)+IF(ISNUMBER(H10),F10*H10,0)+IF(ISNUMBER(I10),F10*I10,0)+IF(ISNUMBER(J10),F10*J10,0)+IF(ISNUMBER(K10),F10*K10,0)</f>
        <v>208414040.79999998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1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24964658.599999998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1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16164136.799999999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0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14">
        <f t="shared" si="0"/>
        <v>0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14">
        <f t="shared" si="0"/>
        <v>0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14">
        <f t="shared" si="0"/>
        <v>0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120216467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26051755.099999998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52103510.199999996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52103510.199999996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52103510.199999996</v>
      </c>
      <c r="L50" s="30">
        <f>G50+H50+I50+J50+K50</f>
        <v>302578752.69999999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0"/>
  <sheetViews>
    <sheetView zoomScale="90" zoomScaleNormal="90" workbookViewId="0">
      <pane xSplit="6" ySplit="9" topLeftCell="G12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3.140625" style="16" bestFit="1" customWidth="1"/>
    <col min="8" max="11" width="11.855468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87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88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1</v>
      </c>
      <c r="H10" s="27">
        <v>1</v>
      </c>
      <c r="I10" s="27">
        <v>2</v>
      </c>
      <c r="J10" s="27">
        <v>2</v>
      </c>
      <c r="K10" s="27">
        <v>2</v>
      </c>
      <c r="L10" s="14">
        <f t="shared" ref="L10:L48" si="0">IF(ISNUMBER(G10),F10*G10,0)+IF(ISNUMBER(H10),F10*H10,0)+IF(ISNUMBER(I10),F10*I10,0)+IF(ISNUMBER(J10),F10*J10,0)+IF(ISNUMBER(K10),F10*K10,0)</f>
        <v>208414040.79999998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1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24964658.599999998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1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16164136.799999999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0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14">
        <f t="shared" si="0"/>
        <v>0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14">
        <f t="shared" si="0"/>
        <v>0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14">
        <f t="shared" si="0"/>
        <v>0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120216467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26051755.099999998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52103510.199999996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52103510.199999996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52103510.199999996</v>
      </c>
      <c r="L50" s="30">
        <f>G50+H50+I50+J50+K50</f>
        <v>302578752.69999999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0"/>
  <sheetViews>
    <sheetView zoomScale="90" zoomScaleNormal="90" workbookViewId="0">
      <pane xSplit="6" ySplit="9" topLeftCell="G34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3.140625" style="16" bestFit="1" customWidth="1"/>
    <col min="8" max="11" width="11.855468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89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90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1</v>
      </c>
      <c r="H10" s="27">
        <v>1</v>
      </c>
      <c r="I10" s="27">
        <v>2</v>
      </c>
      <c r="J10" s="27">
        <v>2</v>
      </c>
      <c r="K10" s="27">
        <v>2</v>
      </c>
      <c r="L10" s="14">
        <f t="shared" ref="L10:L48" si="0">IF(ISNUMBER(G10),F10*G10,0)+IF(ISNUMBER(H10),F10*H10,0)+IF(ISNUMBER(I10),F10*I10,0)+IF(ISNUMBER(J10),F10*J10,0)+IF(ISNUMBER(K10),F10*K10,0)</f>
        <v>208414040.79999998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1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24964658.599999998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1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16164136.799999999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14">
        <f t="shared" si="0"/>
        <v>0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128002670.59999999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94737031.899999991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52103510.199999996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69909583.099999994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52103510.199999996</v>
      </c>
      <c r="L50" s="30">
        <f>G50+H50+I50+J50+K50</f>
        <v>396856305.99999994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0"/>
  <sheetViews>
    <sheetView zoomScale="90" zoomScaleNormal="90" workbookViewId="0">
      <pane xSplit="6" ySplit="9" topLeftCell="G18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3.140625" style="16" bestFit="1" customWidth="1"/>
    <col min="8" max="11" width="11.855468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91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92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1</v>
      </c>
      <c r="H10" s="27">
        <v>1</v>
      </c>
      <c r="I10" s="27">
        <v>2</v>
      </c>
      <c r="J10" s="27">
        <v>2</v>
      </c>
      <c r="K10" s="27">
        <v>2</v>
      </c>
      <c r="L10" s="14">
        <f t="shared" ref="L10:L48" si="0">IF(ISNUMBER(G10),F10*G10,0)+IF(ISNUMBER(H10),F10*H10,0)+IF(ISNUMBER(I10),F10*I10,0)+IF(ISNUMBER(J10),F10*J10,0)+IF(ISNUMBER(K10),F10*K10,0)</f>
        <v>208414040.79999998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1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24964658.599999998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1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16164136.799999999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128002670.59999999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137736551.39999998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52103510.199999996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69909583.099999994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52103510.199999996</v>
      </c>
      <c r="L50" s="30">
        <f>G50+H50+I50+J50+K50</f>
        <v>439855825.49999994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0"/>
  <sheetViews>
    <sheetView zoomScale="90" zoomScaleNormal="90" workbookViewId="0">
      <pane xSplit="6" ySplit="9" topLeftCell="G31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8" width="13.140625" style="16" bestFit="1" customWidth="1"/>
    <col min="9" max="11" width="11.855468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93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94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1</v>
      </c>
      <c r="H10" s="27">
        <v>1</v>
      </c>
      <c r="I10" s="27">
        <v>2</v>
      </c>
      <c r="J10" s="27">
        <v>2</v>
      </c>
      <c r="K10" s="27">
        <v>2</v>
      </c>
      <c r="L10" s="14">
        <f t="shared" ref="L10:L48" si="0">IF(ISNUMBER(G10),F10*G10,0)+IF(ISNUMBER(H10),F10*H10,0)+IF(ISNUMBER(I10),F10*I10,0)+IF(ISNUMBER(J10),F10*J10,0)+IF(ISNUMBER(K10),F10*K10,0)</f>
        <v>208414040.79999998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1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24964658.599999998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1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16164136.799999999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128002670.59999999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137736551.39999998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52103510.199999996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69909583.099999994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52103510.199999996</v>
      </c>
      <c r="L50" s="30">
        <f>G50+H50+I50+J50+K50</f>
        <v>439855825.49999994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0"/>
  <sheetViews>
    <sheetView zoomScale="90" zoomScaleNormal="90" workbookViewId="0">
      <pane xSplit="6" ySplit="9" topLeftCell="G36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8" width="13.140625" style="16" bestFit="1" customWidth="1"/>
    <col min="9" max="11" width="11.855468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95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96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1</v>
      </c>
      <c r="H10" s="27">
        <v>1</v>
      </c>
      <c r="I10" s="27">
        <v>2</v>
      </c>
      <c r="J10" s="27">
        <v>2</v>
      </c>
      <c r="K10" s="27">
        <v>2</v>
      </c>
      <c r="L10" s="14">
        <f t="shared" ref="L10:L48" si="0">IF(ISNUMBER(G10),F10*G10,0)+IF(ISNUMBER(H10),F10*H10,0)+IF(ISNUMBER(I10),F10*I10,0)+IF(ISNUMBER(J10),F10*J10,0)+IF(ISNUMBER(K10),F10*K10,0)</f>
        <v>208414040.79999998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1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24964658.599999998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1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16164136.799999999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128002670.59999999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137736551.39999998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52103510.199999996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69909583.099999994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52103510.199999996</v>
      </c>
      <c r="L50" s="30">
        <f>G50+H50+I50+J50+K50</f>
        <v>439855825.49999994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50"/>
  <sheetViews>
    <sheetView zoomScale="90" zoomScaleNormal="90" workbookViewId="0">
      <pane xSplit="6" ySplit="9" topLeftCell="G31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8" width="13.140625" style="16" bestFit="1" customWidth="1"/>
    <col min="9" max="11" width="11.855468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97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98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1</v>
      </c>
      <c r="H10" s="27">
        <v>1</v>
      </c>
      <c r="I10" s="27">
        <v>2</v>
      </c>
      <c r="J10" s="27">
        <v>2</v>
      </c>
      <c r="K10" s="27">
        <v>2</v>
      </c>
      <c r="L10" s="14">
        <f t="shared" ref="L10:L48" si="0">IF(ISNUMBER(G10),F10*G10,0)+IF(ISNUMBER(H10),F10*H10,0)+IF(ISNUMBER(I10),F10*I10,0)+IF(ISNUMBER(J10),F10*J10,0)+IF(ISNUMBER(K10),F10*K10,0)</f>
        <v>208414040.79999998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1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24964658.599999998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1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16164136.799999999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128002670.59999999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137736551.39999998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52103510.199999996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69909583.099999994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52103510.199999996</v>
      </c>
      <c r="L50" s="30">
        <f>G50+H50+I50+J50+K50</f>
        <v>439855825.49999994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50"/>
  <sheetViews>
    <sheetView zoomScale="90" zoomScaleNormal="90" workbookViewId="0">
      <pane xSplit="6" ySplit="9" topLeftCell="G35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8" width="13.140625" style="16" bestFit="1" customWidth="1"/>
    <col min="9" max="11" width="11.855468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99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100</v>
      </c>
      <c r="C4" s="89"/>
      <c r="D4" s="89"/>
      <c r="E4" s="89"/>
      <c r="F4" s="89"/>
    </row>
    <row r="5" spans="1:12" x14ac:dyDescent="0.25">
      <c r="A5" s="19" t="s">
        <v>32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33</v>
      </c>
      <c r="B6" s="92" t="s">
        <v>34</v>
      </c>
      <c r="C6" s="92"/>
      <c r="D6" s="92"/>
      <c r="E6" s="92"/>
      <c r="F6" s="92"/>
      <c r="G6" s="18" t="s">
        <v>73</v>
      </c>
      <c r="H6" s="18" t="s">
        <v>74</v>
      </c>
      <c r="I6" s="18" t="s">
        <v>75</v>
      </c>
      <c r="J6" s="18" t="s">
        <v>76</v>
      </c>
      <c r="K6" s="18" t="s">
        <v>77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협력사1</v>
      </c>
      <c r="H8" s="25" t="str">
        <f>H6</f>
        <v>협력사2</v>
      </c>
      <c r="I8" s="25" t="str">
        <f>I6</f>
        <v>협력사3</v>
      </c>
      <c r="J8" s="25" t="str">
        <f>J6</f>
        <v>협력사4</v>
      </c>
      <c r="K8" s="25" t="str">
        <f>K6</f>
        <v>협력사5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1</v>
      </c>
      <c r="H10" s="27">
        <v>1</v>
      </c>
      <c r="I10" s="27">
        <v>2</v>
      </c>
      <c r="J10" s="27">
        <v>2</v>
      </c>
      <c r="K10" s="27">
        <v>2</v>
      </c>
      <c r="L10" s="14">
        <f t="shared" ref="L10:L48" si="0">IF(ISNUMBER(G10),F10*G10,0)+IF(ISNUMBER(H10),F10*H10,0)+IF(ISNUMBER(I10),F10*I10,0)+IF(ISNUMBER(J10),F10*J10,0)+IF(ISNUMBER(K10),F10*K10,0)</f>
        <v>208414040.79999998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1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24964658.599999998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1</v>
      </c>
      <c r="H22" s="27">
        <v>0</v>
      </c>
      <c r="I22" s="27">
        <v>1</v>
      </c>
      <c r="J22" s="27">
        <v>0</v>
      </c>
      <c r="K22" s="27">
        <v>0</v>
      </c>
      <c r="L22" s="14">
        <f t="shared" si="0"/>
        <v>32328273.599999998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128002670.59999999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137736551.39999998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68267647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69909583.099999994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52103510.199999996</v>
      </c>
      <c r="L50" s="30">
        <f>G50+H50+I50+J50+K50</f>
        <v>456019962.30000001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50"/>
  <sheetViews>
    <sheetView zoomScale="90" zoomScaleNormal="90" workbookViewId="0">
      <pane xSplit="6" ySplit="9" topLeftCell="G34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8" width="13.140625" style="16" bestFit="1" customWidth="1"/>
    <col min="9" max="11" width="11.855468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101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102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1</v>
      </c>
      <c r="H10" s="27">
        <v>1</v>
      </c>
      <c r="I10" s="27">
        <v>2</v>
      </c>
      <c r="J10" s="27">
        <v>2</v>
      </c>
      <c r="K10" s="27">
        <v>2</v>
      </c>
      <c r="L10" s="14">
        <f t="shared" ref="L10:L48" si="0">IF(ISNUMBER(G10),F10*G10,0)+IF(ISNUMBER(H10),F10*H10,0)+IF(ISNUMBER(I10),F10*I10,0)+IF(ISNUMBER(J10),F10*J10,0)+IF(ISNUMBER(K10),F10*K10,0)</f>
        <v>208414040.79999998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1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24964658.599999998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1</v>
      </c>
      <c r="H22" s="27">
        <v>0</v>
      </c>
      <c r="I22" s="27">
        <v>1</v>
      </c>
      <c r="J22" s="27">
        <v>0</v>
      </c>
      <c r="K22" s="27">
        <v>0</v>
      </c>
      <c r="L22" s="14">
        <f t="shared" si="0"/>
        <v>32328273.599999998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141735375.59999999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137736551.39999998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68267647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69909583.099999994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52103510.199999996</v>
      </c>
      <c r="L50" s="30">
        <f>G50+H50+I50+J50+K50</f>
        <v>469752667.30000001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0"/>
  <sheetViews>
    <sheetView zoomScale="90" zoomScaleNormal="90" workbookViewId="0">
      <pane xSplit="6" ySplit="9" topLeftCell="G36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8" width="13.140625" style="16" bestFit="1" customWidth="1"/>
    <col min="9" max="11" width="11.855468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103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104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1</v>
      </c>
      <c r="H10" s="27">
        <v>1</v>
      </c>
      <c r="I10" s="27">
        <v>2</v>
      </c>
      <c r="J10" s="27">
        <v>2</v>
      </c>
      <c r="K10" s="27">
        <v>2</v>
      </c>
      <c r="L10" s="14">
        <f t="shared" ref="L10:L48" si="0">IF(ISNUMBER(G10),F10*G10,0)+IF(ISNUMBER(H10),F10*H10,0)+IF(ISNUMBER(I10),F10*I10,0)+IF(ISNUMBER(J10),F10*J10,0)+IF(ISNUMBER(K10),F10*K10,0)</f>
        <v>208414040.79999998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1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24964658.599999998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1</v>
      </c>
      <c r="H22" s="27">
        <v>0</v>
      </c>
      <c r="I22" s="27">
        <v>1</v>
      </c>
      <c r="J22" s="27">
        <v>0</v>
      </c>
      <c r="K22" s="27">
        <v>0</v>
      </c>
      <c r="L22" s="14">
        <f t="shared" si="0"/>
        <v>32328273.599999998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141735375.59999999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137736551.39999998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68267647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69909583.099999994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52103510.199999996</v>
      </c>
      <c r="L50" s="30">
        <f>G50+H50+I50+J50+K50</f>
        <v>469752667.30000001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50"/>
  <sheetViews>
    <sheetView zoomScale="90" zoomScaleNormal="90" workbookViewId="0">
      <pane xSplit="6" ySplit="9" topLeftCell="G31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8" width="13.140625" style="16" bestFit="1" customWidth="1"/>
    <col min="9" max="11" width="11.855468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105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106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74554825.099999994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0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0</v>
      </c>
      <c r="L50" s="30">
        <f>G50+H50+I50+J50+K50</f>
        <v>204045694.29999998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50"/>
  <sheetViews>
    <sheetView zoomScale="90" zoomScaleNormal="90" workbookViewId="0">
      <pane xSplit="6" ySplit="9" topLeftCell="G38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1.85546875" style="16" bestFit="1" customWidth="1"/>
    <col min="8" max="8" width="13.140625" style="16" bestFit="1" customWidth="1"/>
    <col min="9" max="9" width="8.7109375" style="16" bestFit="1" customWidth="1"/>
    <col min="10" max="10" width="11.85546875" style="16" bestFit="1" customWidth="1"/>
    <col min="11" max="11" width="8.71093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107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108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74554825.099999994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0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0</v>
      </c>
      <c r="L50" s="30">
        <f>G50+H50+I50+J50+K50</f>
        <v>204045694.29999998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50"/>
  <sheetViews>
    <sheetView zoomScale="90" zoomScaleNormal="90" workbookViewId="0">
      <pane xSplit="6" ySplit="9" topLeftCell="G42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1.85546875" style="16" bestFit="1" customWidth="1"/>
    <col min="8" max="8" width="13.140625" style="16" bestFit="1" customWidth="1"/>
    <col min="9" max="9" width="8.7109375" style="16" bestFit="1" customWidth="1"/>
    <col min="10" max="10" width="11.85546875" style="16" bestFit="1" customWidth="1"/>
    <col min="11" max="11" width="8.71093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109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110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74554825.099999994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0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0</v>
      </c>
      <c r="L50" s="30">
        <f>G50+H50+I50+J50+K50</f>
        <v>204045694.29999998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50"/>
  <sheetViews>
    <sheetView zoomScale="90" zoomScaleNormal="90" workbookViewId="0">
      <pane xSplit="6" ySplit="9" topLeftCell="G40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1.85546875" style="16" bestFit="1" customWidth="1"/>
    <col min="8" max="8" width="13.140625" style="16" bestFit="1" customWidth="1"/>
    <col min="9" max="9" width="8.7109375" style="16" bestFit="1" customWidth="1"/>
    <col min="10" max="10" width="11.85546875" style="16" bestFit="1" customWidth="1"/>
    <col min="11" max="11" width="8.71093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111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112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74554825.099999994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0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0</v>
      </c>
      <c r="L50" s="30">
        <f>G50+H50+I50+J50+K50</f>
        <v>204045694.29999998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50"/>
  <sheetViews>
    <sheetView zoomScale="90" zoomScaleNormal="90" workbookViewId="0">
      <pane xSplit="6" ySplit="9" topLeftCell="G34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1.85546875" style="16" bestFit="1" customWidth="1"/>
    <col min="8" max="8" width="13.140625" style="16" bestFit="1" customWidth="1"/>
    <col min="9" max="9" width="8.7109375" style="16" bestFit="1" customWidth="1"/>
    <col min="10" max="10" width="11.85546875" style="16" bestFit="1" customWidth="1"/>
    <col min="11" max="11" width="8.71093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113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114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74554825.099999994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0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0</v>
      </c>
      <c r="L50" s="30">
        <f>G50+H50+I50+J50+K50</f>
        <v>204045694.29999998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50"/>
  <sheetViews>
    <sheetView zoomScale="90" zoomScaleNormal="90" workbookViewId="0">
      <pane xSplit="6" ySplit="9" topLeftCell="G29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1.85546875" style="16" bestFit="1" customWidth="1"/>
    <col min="8" max="8" width="13.140625" style="16" bestFit="1" customWidth="1"/>
    <col min="9" max="9" width="8.7109375" style="16" bestFit="1" customWidth="1"/>
    <col min="10" max="10" width="11.85546875" style="16" bestFit="1" customWidth="1"/>
    <col min="11" max="11" width="8.71093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115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116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74554825.099999994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0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0</v>
      </c>
      <c r="L50" s="30">
        <f>G50+H50+I50+J50+K50</f>
        <v>204045694.29999998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50"/>
  <sheetViews>
    <sheetView zoomScale="90" zoomScaleNormal="90" workbookViewId="0">
      <pane xSplit="6" ySplit="9" topLeftCell="G34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1.85546875" style="16" bestFit="1" customWidth="1"/>
    <col min="8" max="8" width="13.140625" style="16" bestFit="1" customWidth="1"/>
    <col min="9" max="9" width="8.7109375" style="16" bestFit="1" customWidth="1"/>
    <col min="10" max="10" width="11.85546875" style="16" bestFit="1" customWidth="1"/>
    <col min="11" max="11" width="8.71093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117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118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74554825.099999994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0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0</v>
      </c>
      <c r="L50" s="30">
        <f>G50+H50+I50+J50+K50</f>
        <v>204045694.29999998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50"/>
  <sheetViews>
    <sheetView zoomScale="90" zoomScaleNormal="90" workbookViewId="0">
      <pane xSplit="6" ySplit="9" topLeftCell="G36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1.85546875" style="16" bestFit="1" customWidth="1"/>
    <col min="8" max="8" width="10.5703125" style="16" bestFit="1" customWidth="1"/>
    <col min="9" max="9" width="8.7109375" style="16" bestFit="1" customWidth="1"/>
    <col min="10" max="10" width="10.5703125" style="16" bestFit="1" customWidth="1"/>
    <col min="11" max="11" width="8.7109375" style="16" bestFit="1" customWidth="1"/>
    <col min="12" max="12" width="11.85546875" style="16" bestFit="1" customWidth="1"/>
    <col min="13" max="16384" width="8.7109375" style="16"/>
  </cols>
  <sheetData>
    <row r="1" spans="1:12" ht="25.5" customHeight="1" x14ac:dyDescent="0.25">
      <c r="A1" s="78" t="s">
        <v>119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120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74554825.099999994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0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0</v>
      </c>
      <c r="L50" s="30">
        <f>G50+H50+I50+J50+K50</f>
        <v>204045694.29999998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50"/>
  <sheetViews>
    <sheetView zoomScale="90" zoomScaleNormal="90" workbookViewId="0">
      <pane xSplit="6" ySplit="9" topLeftCell="G38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1.85546875" style="16" bestFit="1" customWidth="1"/>
    <col min="8" max="8" width="13.140625" style="16" bestFit="1" customWidth="1"/>
    <col min="9" max="9" width="8.7109375" style="16" bestFit="1" customWidth="1"/>
    <col min="10" max="10" width="11.85546875" style="16" bestFit="1" customWidth="1"/>
    <col min="11" max="11" width="8.71093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121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122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74554825.099999994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0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0</v>
      </c>
      <c r="L50" s="30">
        <f>G50+H50+I50+J50+K50</f>
        <v>204045694.29999998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50"/>
  <sheetViews>
    <sheetView zoomScale="90" zoomScaleNormal="90" workbookViewId="0">
      <pane xSplit="6" ySplit="9" topLeftCell="G34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1.85546875" style="16" bestFit="1" customWidth="1"/>
    <col min="8" max="8" width="13.140625" style="16" bestFit="1" customWidth="1"/>
    <col min="9" max="9" width="8.7109375" style="16" bestFit="1" customWidth="1"/>
    <col min="10" max="10" width="11.85546875" style="16" bestFit="1" customWidth="1"/>
    <col min="11" max="11" width="8.71093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123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124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74554825.099999994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0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0</v>
      </c>
      <c r="L50" s="30">
        <f>G50+H50+I50+J50+K50</f>
        <v>204045694.29999998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50"/>
  <sheetViews>
    <sheetView zoomScale="90" zoomScaleNormal="90" workbookViewId="0">
      <pane xSplit="6" ySplit="9" topLeftCell="G34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1.85546875" style="16" bestFit="1" customWidth="1"/>
    <col min="8" max="8" width="13.140625" style="16" bestFit="1" customWidth="1"/>
    <col min="9" max="9" width="8.7109375" style="16" bestFit="1" customWidth="1"/>
    <col min="10" max="10" width="11.85546875" style="16" bestFit="1" customWidth="1"/>
    <col min="11" max="11" width="8.71093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125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126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74554825.099999994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0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0</v>
      </c>
      <c r="L50" s="30">
        <f>G50+H50+I50+J50+K50</f>
        <v>204045694.29999998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50"/>
  <sheetViews>
    <sheetView zoomScale="90" zoomScaleNormal="90" workbookViewId="0">
      <pane xSplit="6" ySplit="9" topLeftCell="G42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1.85546875" style="16" bestFit="1" customWidth="1"/>
    <col min="8" max="8" width="13.140625" style="16" bestFit="1" customWidth="1"/>
    <col min="9" max="9" width="8.7109375" style="16" bestFit="1" customWidth="1"/>
    <col min="10" max="10" width="11.85546875" style="16" bestFit="1" customWidth="1"/>
    <col min="11" max="11" width="8.71093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127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128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74554825.099999994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0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0</v>
      </c>
      <c r="L50" s="30">
        <f>G50+H50+I50+J50+K50</f>
        <v>204045694.29999998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50"/>
  <sheetViews>
    <sheetView zoomScale="90" zoomScaleNormal="9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1.85546875" style="16" bestFit="1" customWidth="1"/>
    <col min="8" max="8" width="13.140625" style="16" bestFit="1" customWidth="1"/>
    <col min="9" max="9" width="8.7109375" style="16" bestFit="1" customWidth="1"/>
    <col min="10" max="10" width="11.85546875" style="16" bestFit="1" customWidth="1"/>
    <col min="11" max="11" width="8.71093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129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130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74554825.099999994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0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0</v>
      </c>
      <c r="L50" s="30">
        <f>G50+H50+I50+J50+K50</f>
        <v>204045694.29999998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50"/>
  <sheetViews>
    <sheetView zoomScale="90" zoomScaleNormal="90" workbookViewId="0">
      <pane xSplit="6" ySplit="9" topLeftCell="G20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1.85546875" style="16" bestFit="1" customWidth="1"/>
    <col min="8" max="8" width="13.140625" style="16" bestFit="1" customWidth="1"/>
    <col min="9" max="9" width="8.7109375" style="16" bestFit="1" customWidth="1"/>
    <col min="10" max="10" width="11.85546875" style="16" bestFit="1" customWidth="1"/>
    <col min="11" max="11" width="8.71093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131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132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74554825.099999994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0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0</v>
      </c>
      <c r="L50" s="30">
        <f>G50+H50+I50+J50+K50</f>
        <v>204045694.29999998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50"/>
  <sheetViews>
    <sheetView zoomScale="90" zoomScaleNormal="90" workbookViewId="0">
      <pane xSplit="6" ySplit="9" topLeftCell="G29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1.85546875" style="16" bestFit="1" customWidth="1"/>
    <col min="8" max="8" width="13.140625" style="16" bestFit="1" customWidth="1"/>
    <col min="9" max="9" width="8.7109375" style="16" bestFit="1" customWidth="1"/>
    <col min="10" max="10" width="11.85546875" style="16" bestFit="1" customWidth="1"/>
    <col min="11" max="11" width="8.71093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133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134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74554825.099999994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0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0</v>
      </c>
      <c r="L50" s="30">
        <f>G50+H50+I50+J50+K50</f>
        <v>204045694.29999998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50"/>
  <sheetViews>
    <sheetView zoomScale="90" zoomScaleNormal="90" workbookViewId="0">
      <pane xSplit="6" ySplit="9" topLeftCell="G31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1.85546875" style="16" bestFit="1" customWidth="1"/>
    <col min="8" max="8" width="13.140625" style="16" bestFit="1" customWidth="1"/>
    <col min="9" max="9" width="8.7109375" style="16" bestFit="1" customWidth="1"/>
    <col min="10" max="10" width="11.85546875" style="16" bestFit="1" customWidth="1"/>
    <col min="11" max="11" width="8.71093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135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136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74554825.099999994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0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0</v>
      </c>
      <c r="L50" s="30">
        <f>G50+H50+I50+J50+K50</f>
        <v>204045694.29999998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50"/>
  <sheetViews>
    <sheetView zoomScale="90" zoomScaleNormal="90" workbookViewId="0">
      <pane xSplit="6" ySplit="9" topLeftCell="G34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1.85546875" style="16" bestFit="1" customWidth="1"/>
    <col min="8" max="8" width="13.140625" style="16" bestFit="1" customWidth="1"/>
    <col min="9" max="9" width="8.7109375" style="16" bestFit="1" customWidth="1"/>
    <col min="10" max="10" width="11.85546875" style="16" bestFit="1" customWidth="1"/>
    <col min="11" max="11" width="8.71093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137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138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74554825.099999994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0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0</v>
      </c>
      <c r="L50" s="30">
        <f>G50+H50+I50+J50+K50</f>
        <v>204045694.29999998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50"/>
  <sheetViews>
    <sheetView zoomScale="90" zoomScaleNormal="9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1.85546875" style="16" bestFit="1" customWidth="1"/>
    <col min="8" max="8" width="13.140625" style="16" bestFit="1" customWidth="1"/>
    <col min="9" max="9" width="8.7109375" style="16" bestFit="1" customWidth="1"/>
    <col min="10" max="10" width="11.85546875" style="16" bestFit="1" customWidth="1"/>
    <col min="11" max="11" width="8.71093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139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140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74554825.099999994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0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0</v>
      </c>
      <c r="L50" s="30">
        <f>G50+H50+I50+J50+K50</f>
        <v>204045694.29999998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50"/>
  <sheetViews>
    <sheetView zoomScale="90" zoomScaleNormal="9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1.85546875" style="16" bestFit="1" customWidth="1"/>
    <col min="8" max="8" width="13.140625" style="16" bestFit="1" customWidth="1"/>
    <col min="9" max="9" width="8.7109375" style="16" bestFit="1" customWidth="1"/>
    <col min="10" max="10" width="11.85546875" style="16" bestFit="1" customWidth="1"/>
    <col min="11" max="11" width="8.71093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141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142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14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0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17806072.899999999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0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42999519.5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0</v>
      </c>
      <c r="J46" s="27">
        <v>0</v>
      </c>
      <c r="K46" s="27">
        <v>0</v>
      </c>
      <c r="L46" s="14">
        <f t="shared" si="0"/>
        <v>13732705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74554825.099999994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0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0</v>
      </c>
      <c r="L50" s="30">
        <f>G50+H50+I50+J50+K50</f>
        <v>204045694.29999998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50"/>
  <sheetViews>
    <sheetView zoomScale="90" zoomScaleNormal="9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1.85546875" style="16" bestFit="1" customWidth="1"/>
    <col min="8" max="8" width="13.140625" style="16" bestFit="1" customWidth="1"/>
    <col min="9" max="11" width="11.855468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143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144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1</v>
      </c>
      <c r="H28" s="27">
        <v>0</v>
      </c>
      <c r="I28" s="27">
        <v>0</v>
      </c>
      <c r="J28" s="27">
        <v>0</v>
      </c>
      <c r="K28" s="27">
        <v>1</v>
      </c>
      <c r="L28" s="14">
        <f t="shared" si="0"/>
        <v>30144979.199999999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1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35612145.799999997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1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85999039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1</v>
      </c>
      <c r="J46" s="27">
        <v>0</v>
      </c>
      <c r="K46" s="27">
        <v>0</v>
      </c>
      <c r="L46" s="14">
        <f t="shared" si="0"/>
        <v>27465410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150432907.09999999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13732705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15072489.6</v>
      </c>
      <c r="L50" s="30">
        <f>G50+H50+I50+J50+K50</f>
        <v>308728970.89999998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50"/>
  <sheetViews>
    <sheetView zoomScale="90" zoomScaleNormal="90" workbookViewId="0">
      <pane xSplit="6" ySplit="9" topLeftCell="G34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21.855468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8" width="13.140625" style="16" bestFit="1" customWidth="1"/>
    <col min="9" max="11" width="11.85546875" style="16" bestFit="1" customWidth="1"/>
    <col min="12" max="12" width="13.140625" style="16" bestFit="1" customWidth="1"/>
    <col min="13" max="16384" width="21.85546875" style="16"/>
  </cols>
  <sheetData>
    <row r="1" spans="1:12" ht="25.5" customHeight="1" x14ac:dyDescent="0.25">
      <c r="A1" s="78" t="s">
        <v>145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146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1</v>
      </c>
      <c r="H28" s="27">
        <v>0</v>
      </c>
      <c r="I28" s="27">
        <v>0</v>
      </c>
      <c r="J28" s="27">
        <v>0</v>
      </c>
      <c r="K28" s="27">
        <v>1</v>
      </c>
      <c r="L28" s="14">
        <f t="shared" si="0"/>
        <v>30144979.199999999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1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35612145.799999997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1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85999039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1</v>
      </c>
      <c r="J46" s="27">
        <v>0</v>
      </c>
      <c r="K46" s="27">
        <v>0</v>
      </c>
      <c r="L46" s="14">
        <f t="shared" si="0"/>
        <v>27465410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150432907.09999999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13732705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15072489.6</v>
      </c>
      <c r="L50" s="30">
        <f>G50+H50+I50+J50+K50</f>
        <v>308728970.89999998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50"/>
  <sheetViews>
    <sheetView zoomScale="90" zoomScaleNormal="90" workbookViewId="0">
      <pane xSplit="6" ySplit="9" topLeftCell="G36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8" width="13.140625" style="16" bestFit="1" customWidth="1"/>
    <col min="9" max="11" width="11.855468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147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148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1</v>
      </c>
      <c r="H28" s="27">
        <v>0</v>
      </c>
      <c r="I28" s="27">
        <v>0</v>
      </c>
      <c r="J28" s="27">
        <v>0</v>
      </c>
      <c r="K28" s="27">
        <v>1</v>
      </c>
      <c r="L28" s="14">
        <f t="shared" si="0"/>
        <v>30144979.199999999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1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35612145.799999997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1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85999039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1</v>
      </c>
      <c r="J46" s="27">
        <v>0</v>
      </c>
      <c r="K46" s="27">
        <v>0</v>
      </c>
      <c r="L46" s="14">
        <f t="shared" si="0"/>
        <v>27465410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150432907.09999999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13732705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15072489.6</v>
      </c>
      <c r="L50" s="30">
        <f>G50+H50+I50+J50+K50</f>
        <v>308728970.89999998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50"/>
  <sheetViews>
    <sheetView zoomScale="90" zoomScaleNormal="90" workbookViewId="0">
      <pane xSplit="6" ySplit="9" topLeftCell="G36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8" width="13.140625" style="16" bestFit="1" customWidth="1"/>
    <col min="9" max="11" width="11.855468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149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150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1</v>
      </c>
      <c r="H28" s="27">
        <v>0</v>
      </c>
      <c r="I28" s="27">
        <v>0</v>
      </c>
      <c r="J28" s="27">
        <v>0</v>
      </c>
      <c r="K28" s="27">
        <v>1</v>
      </c>
      <c r="L28" s="14">
        <f t="shared" si="0"/>
        <v>30144979.199999999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1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35612145.799999997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1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85999039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1</v>
      </c>
      <c r="J46" s="27">
        <v>0</v>
      </c>
      <c r="K46" s="27">
        <v>0</v>
      </c>
      <c r="L46" s="14">
        <f t="shared" si="0"/>
        <v>27465410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150432907.09999999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13732705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15072489.6</v>
      </c>
      <c r="L50" s="30">
        <f>G50+H50+I50+J50+K50</f>
        <v>308728970.89999998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50"/>
  <sheetViews>
    <sheetView zoomScale="90" zoomScaleNormal="90" workbookViewId="0">
      <pane xSplit="6" ySplit="9" topLeftCell="G31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8" width="13.140625" style="16" bestFit="1" customWidth="1"/>
    <col min="9" max="11" width="11.85546875" style="16" bestFit="1" customWidth="1"/>
    <col min="12" max="12" width="13.140625" style="16" bestFit="1" customWidth="1"/>
    <col min="13" max="16384" width="8.7109375" style="16"/>
  </cols>
  <sheetData>
    <row r="1" spans="1:12" ht="25.5" customHeight="1" x14ac:dyDescent="0.25">
      <c r="A1" s="78" t="s">
        <v>151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152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14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14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14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14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14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27">
        <v>1</v>
      </c>
      <c r="H25" s="27">
        <v>0</v>
      </c>
      <c r="I25" s="27">
        <v>0</v>
      </c>
      <c r="J25" s="27">
        <v>0</v>
      </c>
      <c r="K25" s="27">
        <v>0</v>
      </c>
      <c r="L25" s="14">
        <f t="shared" si="0"/>
        <v>53035916.5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27">
        <v>1</v>
      </c>
      <c r="H28" s="27">
        <v>0</v>
      </c>
      <c r="I28" s="27">
        <v>0</v>
      </c>
      <c r="J28" s="27">
        <v>0</v>
      </c>
      <c r="K28" s="27">
        <v>1</v>
      </c>
      <c r="L28" s="14">
        <f t="shared" si="0"/>
        <v>30144979.199999999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27">
        <v>1</v>
      </c>
      <c r="H31" s="27">
        <v>0</v>
      </c>
      <c r="I31" s="27">
        <v>0</v>
      </c>
      <c r="J31" s="27">
        <v>0</v>
      </c>
      <c r="K31" s="27">
        <v>0</v>
      </c>
      <c r="L31" s="14">
        <f t="shared" si="0"/>
        <v>7786203.5999999996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27">
        <v>0</v>
      </c>
      <c r="H34" s="27">
        <v>1</v>
      </c>
      <c r="I34" s="27">
        <v>0</v>
      </c>
      <c r="J34" s="27">
        <v>0</v>
      </c>
      <c r="K34" s="27">
        <v>0</v>
      </c>
      <c r="L34" s="14">
        <f t="shared" si="0"/>
        <v>68685276.799999997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27">
        <v>1</v>
      </c>
      <c r="H37" s="27">
        <v>0</v>
      </c>
      <c r="I37" s="27">
        <v>0</v>
      </c>
      <c r="J37" s="27">
        <v>1</v>
      </c>
      <c r="K37" s="27">
        <v>0</v>
      </c>
      <c r="L37" s="14">
        <f t="shared" si="0"/>
        <v>35612145.799999997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14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27">
        <v>1</v>
      </c>
      <c r="H43" s="27">
        <v>1</v>
      </c>
      <c r="I43" s="27">
        <v>0</v>
      </c>
      <c r="J43" s="27">
        <v>0</v>
      </c>
      <c r="K43" s="27">
        <v>0</v>
      </c>
      <c r="L43" s="14">
        <f t="shared" si="0"/>
        <v>85999039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27">
        <v>1</v>
      </c>
      <c r="H46" s="27">
        <v>0</v>
      </c>
      <c r="I46" s="27">
        <v>1</v>
      </c>
      <c r="J46" s="27">
        <v>0</v>
      </c>
      <c r="K46" s="27">
        <v>0</v>
      </c>
      <c r="L46" s="14">
        <f t="shared" si="0"/>
        <v>27465410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150432907.09999999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111684796.3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13732705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17806072.899999999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15072489.6</v>
      </c>
      <c r="L50" s="30">
        <f>G50+H50+I50+J50+K50</f>
        <v>308728970.89999998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50"/>
  <sheetViews>
    <sheetView zoomScale="90" zoomScaleNormal="90" workbookViewId="0">
      <pane xSplit="6" ySplit="9" topLeftCell="G29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570312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7.5703125" style="16" bestFit="1" customWidth="1"/>
    <col min="6" max="6" width="12.85546875" style="16" bestFit="1" customWidth="1"/>
    <col min="7" max="7" width="10.5703125" style="16" bestFit="1" customWidth="1"/>
    <col min="8" max="8" width="11.85546875" style="16" bestFit="1" customWidth="1"/>
    <col min="9" max="10" width="10.5703125" style="16" bestFit="1" customWidth="1"/>
    <col min="11" max="12" width="11.85546875" style="16" bestFit="1" customWidth="1"/>
    <col min="13" max="16384" width="8.5703125" style="16"/>
  </cols>
  <sheetData>
    <row r="1" spans="1:12" ht="25.5" customHeight="1" x14ac:dyDescent="0.25">
      <c r="A1" s="78" t="s">
        <v>153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154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7">
        <f t="shared" ref="L10:L12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27">
        <v>1</v>
      </c>
      <c r="H11" s="27">
        <v>2</v>
      </c>
      <c r="I11" s="27">
        <v>0</v>
      </c>
      <c r="J11" s="27">
        <v>0</v>
      </c>
      <c r="K11" s="27">
        <v>0</v>
      </c>
      <c r="L11" s="14">
        <f t="shared" si="0"/>
        <v>16747556.850000001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7">
        <f t="shared" ref="L13:L48" si="1">IF(ISNUMBER(G13),F13*G13,0)+IF(ISNUMBER(H13),F13*H13,0)+IF(ISNUMBER(I13),F13*I13,0)+IF(ISNUMBER(J13),F13*J13,0)+IF(ISNUMBER(K13),F13*K13,0)</f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27">
        <v>0</v>
      </c>
      <c r="H14" s="27">
        <v>0</v>
      </c>
      <c r="I14" s="27">
        <v>1</v>
      </c>
      <c r="J14" s="27">
        <v>0</v>
      </c>
      <c r="K14" s="27">
        <v>0</v>
      </c>
      <c r="L14" s="14">
        <f t="shared" si="1"/>
        <v>2008108.65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1</v>
      </c>
      <c r="L15" s="77">
        <f t="shared" si="1"/>
        <v>2008108.65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7">
        <f t="shared" si="1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27">
        <v>0</v>
      </c>
      <c r="H17" s="27">
        <v>0</v>
      </c>
      <c r="I17" s="27">
        <v>0</v>
      </c>
      <c r="J17" s="27">
        <v>1</v>
      </c>
      <c r="K17" s="27">
        <v>0</v>
      </c>
      <c r="L17" s="14">
        <f t="shared" si="1"/>
        <v>5349569.7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1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7">
        <f t="shared" si="1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27">
        <v>0</v>
      </c>
      <c r="H20" s="27">
        <v>0</v>
      </c>
      <c r="I20" s="27">
        <v>0</v>
      </c>
      <c r="J20" s="27">
        <v>0</v>
      </c>
      <c r="K20" s="27">
        <v>1</v>
      </c>
      <c r="L20" s="14">
        <f t="shared" si="1"/>
        <v>3634176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1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7">
        <f t="shared" si="1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14">
        <f t="shared" si="1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1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7">
        <f t="shared" si="1"/>
        <v>0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27">
        <v>0</v>
      </c>
      <c r="H26" s="27">
        <v>0</v>
      </c>
      <c r="I26" s="27">
        <v>0</v>
      </c>
      <c r="J26" s="27">
        <v>0</v>
      </c>
      <c r="K26" s="27">
        <v>1</v>
      </c>
      <c r="L26" s="14">
        <f t="shared" si="1"/>
        <v>11364839.25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1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7">
        <f t="shared" si="1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27">
        <v>0</v>
      </c>
      <c r="H29" s="27">
        <v>0</v>
      </c>
      <c r="I29" s="27">
        <v>1</v>
      </c>
      <c r="J29" s="27">
        <v>0</v>
      </c>
      <c r="K29" s="27">
        <v>0</v>
      </c>
      <c r="L29" s="14">
        <f t="shared" si="1"/>
        <v>3229819.1999999997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1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7">
        <f t="shared" si="1"/>
        <v>0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27">
        <v>1</v>
      </c>
      <c r="H32" s="27">
        <v>0</v>
      </c>
      <c r="I32" s="27">
        <v>0</v>
      </c>
      <c r="J32" s="27">
        <v>0</v>
      </c>
      <c r="K32" s="27">
        <v>0</v>
      </c>
      <c r="L32" s="14">
        <f t="shared" si="1"/>
        <v>1668472.2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1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7">
        <f t="shared" si="1"/>
        <v>0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14">
        <f t="shared" si="1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1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7">
        <f t="shared" si="1"/>
        <v>0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14">
        <f t="shared" si="1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1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7">
        <f t="shared" si="1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14">
        <f t="shared" si="1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1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7">
        <f t="shared" si="1"/>
        <v>0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14">
        <f t="shared" si="1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1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7">
        <f t="shared" si="1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14">
        <f t="shared" si="1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1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7250991.1500000004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11165037.9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5237927.8499999996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5349569.7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17007123.899999999</v>
      </c>
      <c r="L50" s="30">
        <f>G50+H50+I50+J50+K50</f>
        <v>46010650.5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L50"/>
  <sheetViews>
    <sheetView zoomScale="90" zoomScaleNormal="9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0.5703125" style="16" bestFit="1" customWidth="1"/>
    <col min="8" max="8" width="11.85546875" style="16" bestFit="1" customWidth="1"/>
    <col min="9" max="10" width="10.5703125" style="16" bestFit="1" customWidth="1"/>
    <col min="11" max="12" width="11.85546875" style="16" bestFit="1" customWidth="1"/>
    <col min="13" max="16384" width="8.7109375" style="16"/>
  </cols>
  <sheetData>
    <row r="1" spans="1:12" ht="25.5" customHeight="1" x14ac:dyDescent="0.25">
      <c r="A1" s="78" t="s">
        <v>155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156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7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27">
        <v>1</v>
      </c>
      <c r="H11" s="27">
        <v>2</v>
      </c>
      <c r="I11" s="27">
        <v>0</v>
      </c>
      <c r="J11" s="27">
        <v>0</v>
      </c>
      <c r="K11" s="27">
        <v>0</v>
      </c>
      <c r="L11" s="14">
        <f t="shared" si="0"/>
        <v>16747556.850000001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7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27">
        <v>0</v>
      </c>
      <c r="H14" s="27">
        <v>0</v>
      </c>
      <c r="I14" s="27">
        <v>1</v>
      </c>
      <c r="J14" s="27">
        <v>0</v>
      </c>
      <c r="K14" s="27">
        <v>0</v>
      </c>
      <c r="L14" s="14">
        <f t="shared" si="0"/>
        <v>2008108.65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7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27">
        <v>0</v>
      </c>
      <c r="H17" s="27">
        <v>0</v>
      </c>
      <c r="I17" s="27">
        <v>0</v>
      </c>
      <c r="J17" s="27">
        <v>1</v>
      </c>
      <c r="K17" s="27">
        <v>0</v>
      </c>
      <c r="L17" s="14">
        <f t="shared" si="0"/>
        <v>5349569.7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7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27">
        <v>0</v>
      </c>
      <c r="H20" s="27">
        <v>0</v>
      </c>
      <c r="I20" s="27">
        <v>0</v>
      </c>
      <c r="J20" s="27">
        <v>0</v>
      </c>
      <c r="K20" s="27">
        <v>1</v>
      </c>
      <c r="L20" s="14">
        <f t="shared" si="0"/>
        <v>3634176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7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14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7">
        <f t="shared" si="0"/>
        <v>0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27">
        <v>0</v>
      </c>
      <c r="H26" s="27">
        <v>0</v>
      </c>
      <c r="I26" s="27">
        <v>0</v>
      </c>
      <c r="J26" s="27">
        <v>0</v>
      </c>
      <c r="K26" s="27">
        <v>1</v>
      </c>
      <c r="L26" s="14">
        <f t="shared" si="0"/>
        <v>11364839.25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7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27">
        <v>0</v>
      </c>
      <c r="H29" s="27">
        <v>0</v>
      </c>
      <c r="I29" s="27">
        <v>1</v>
      </c>
      <c r="J29" s="27">
        <v>0</v>
      </c>
      <c r="K29" s="27">
        <v>0</v>
      </c>
      <c r="L29" s="14">
        <f t="shared" si="0"/>
        <v>3229819.1999999997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7">
        <f t="shared" si="0"/>
        <v>0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27">
        <v>1</v>
      </c>
      <c r="H32" s="27">
        <v>0</v>
      </c>
      <c r="I32" s="27">
        <v>0</v>
      </c>
      <c r="J32" s="27">
        <v>0</v>
      </c>
      <c r="K32" s="27">
        <v>0</v>
      </c>
      <c r="L32" s="14">
        <f t="shared" si="0"/>
        <v>1668472.2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7">
        <f t="shared" si="0"/>
        <v>0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14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7">
        <f t="shared" si="0"/>
        <v>0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14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7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14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7">
        <f t="shared" si="0"/>
        <v>0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14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7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14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7250991.1500000004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11165037.9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5237927.8499999996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5349569.7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14999015.25</v>
      </c>
      <c r="L50" s="30">
        <f>G50+H50+I50+J50+K50</f>
        <v>44002541.849999994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50"/>
  <sheetViews>
    <sheetView zoomScale="90" zoomScaleNormal="90" workbookViewId="0">
      <pane xSplit="6" ySplit="9" topLeftCell="G20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0.5703125" style="16" bestFit="1" customWidth="1"/>
    <col min="8" max="8" width="11.85546875" style="16" bestFit="1" customWidth="1"/>
    <col min="9" max="10" width="10.5703125" style="16" bestFit="1" customWidth="1"/>
    <col min="11" max="12" width="11.85546875" style="16" bestFit="1" customWidth="1"/>
    <col min="13" max="16384" width="8.7109375" style="16"/>
  </cols>
  <sheetData>
    <row r="1" spans="1:12" ht="25.5" customHeight="1" x14ac:dyDescent="0.25">
      <c r="A1" s="78" t="s">
        <v>157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158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7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27">
        <v>1</v>
      </c>
      <c r="H11" s="27">
        <v>2</v>
      </c>
      <c r="I11" s="27">
        <v>0</v>
      </c>
      <c r="J11" s="27">
        <v>0</v>
      </c>
      <c r="K11" s="27">
        <v>0</v>
      </c>
      <c r="L11" s="14">
        <f t="shared" si="0"/>
        <v>16747556.850000001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7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27">
        <v>0</v>
      </c>
      <c r="H14" s="27">
        <v>0</v>
      </c>
      <c r="I14" s="27">
        <v>1</v>
      </c>
      <c r="J14" s="27">
        <v>0</v>
      </c>
      <c r="K14" s="27">
        <v>0</v>
      </c>
      <c r="L14" s="14">
        <f t="shared" si="0"/>
        <v>2008108.65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7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27">
        <v>0</v>
      </c>
      <c r="H17" s="27">
        <v>0</v>
      </c>
      <c r="I17" s="27">
        <v>0</v>
      </c>
      <c r="J17" s="27">
        <v>1</v>
      </c>
      <c r="K17" s="27">
        <v>0</v>
      </c>
      <c r="L17" s="14">
        <f t="shared" si="0"/>
        <v>5349569.7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7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27">
        <v>0</v>
      </c>
      <c r="H20" s="27">
        <v>0</v>
      </c>
      <c r="I20" s="27">
        <v>0</v>
      </c>
      <c r="J20" s="27">
        <v>0</v>
      </c>
      <c r="K20" s="27">
        <v>1</v>
      </c>
      <c r="L20" s="14">
        <f t="shared" si="0"/>
        <v>3634176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7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14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7">
        <f t="shared" si="0"/>
        <v>0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27">
        <v>0</v>
      </c>
      <c r="H26" s="27">
        <v>0</v>
      </c>
      <c r="I26" s="27">
        <v>0</v>
      </c>
      <c r="J26" s="27">
        <v>0</v>
      </c>
      <c r="K26" s="27">
        <v>1</v>
      </c>
      <c r="L26" s="14">
        <f t="shared" si="0"/>
        <v>11364839.25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7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27">
        <v>0</v>
      </c>
      <c r="H29" s="27">
        <v>0</v>
      </c>
      <c r="I29" s="27">
        <v>1</v>
      </c>
      <c r="J29" s="27">
        <v>0</v>
      </c>
      <c r="K29" s="27">
        <v>0</v>
      </c>
      <c r="L29" s="14">
        <f t="shared" si="0"/>
        <v>3229819.1999999997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7">
        <f t="shared" si="0"/>
        <v>0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27">
        <v>1</v>
      </c>
      <c r="H32" s="27">
        <v>0</v>
      </c>
      <c r="I32" s="27">
        <v>0</v>
      </c>
      <c r="J32" s="27">
        <v>0</v>
      </c>
      <c r="K32" s="27">
        <v>0</v>
      </c>
      <c r="L32" s="14">
        <f t="shared" si="0"/>
        <v>1668472.2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7">
        <f t="shared" si="0"/>
        <v>0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14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7">
        <f t="shared" si="0"/>
        <v>0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14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7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14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7">
        <f t="shared" si="0"/>
        <v>0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14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7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14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7250991.1500000004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11165037.9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5237927.8499999996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5349569.7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14999015.25</v>
      </c>
      <c r="L50" s="30">
        <f>G50+H50+I50+J50+K50</f>
        <v>44002541.849999994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50"/>
  <sheetViews>
    <sheetView zoomScale="90" zoomScaleNormal="9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0.5703125" style="16" bestFit="1" customWidth="1"/>
    <col min="8" max="8" width="11.85546875" style="16" bestFit="1" customWidth="1"/>
    <col min="9" max="10" width="10.5703125" style="16" bestFit="1" customWidth="1"/>
    <col min="11" max="12" width="11.85546875" style="16" bestFit="1" customWidth="1"/>
    <col min="13" max="16384" width="8.7109375" style="16"/>
  </cols>
  <sheetData>
    <row r="1" spans="1:12" ht="25.5" customHeight="1" x14ac:dyDescent="0.25">
      <c r="A1" s="78" t="s">
        <v>159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160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7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27">
        <v>1</v>
      </c>
      <c r="H11" s="27">
        <v>2</v>
      </c>
      <c r="I11" s="27">
        <v>0</v>
      </c>
      <c r="J11" s="27">
        <v>0</v>
      </c>
      <c r="K11" s="27">
        <v>0</v>
      </c>
      <c r="L11" s="14">
        <f t="shared" si="0"/>
        <v>16747556.850000001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7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27">
        <v>0</v>
      </c>
      <c r="H14" s="27">
        <v>0</v>
      </c>
      <c r="I14" s="27">
        <v>1</v>
      </c>
      <c r="J14" s="27">
        <v>0</v>
      </c>
      <c r="K14" s="27">
        <v>0</v>
      </c>
      <c r="L14" s="14">
        <f t="shared" si="0"/>
        <v>2008108.65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7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27">
        <v>0</v>
      </c>
      <c r="H17" s="27">
        <v>0</v>
      </c>
      <c r="I17" s="27">
        <v>0</v>
      </c>
      <c r="J17" s="27">
        <v>1</v>
      </c>
      <c r="K17" s="27">
        <v>0</v>
      </c>
      <c r="L17" s="14">
        <f t="shared" si="0"/>
        <v>5349569.7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7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27">
        <v>0</v>
      </c>
      <c r="H20" s="27">
        <v>0</v>
      </c>
      <c r="I20" s="27">
        <v>0</v>
      </c>
      <c r="J20" s="27">
        <v>0</v>
      </c>
      <c r="K20" s="27">
        <v>1</v>
      </c>
      <c r="L20" s="14">
        <f t="shared" si="0"/>
        <v>3634176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7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14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7">
        <f t="shared" si="0"/>
        <v>0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27">
        <v>0</v>
      </c>
      <c r="H26" s="27">
        <v>0</v>
      </c>
      <c r="I26" s="27">
        <v>0</v>
      </c>
      <c r="J26" s="27">
        <v>0</v>
      </c>
      <c r="K26" s="27">
        <v>1</v>
      </c>
      <c r="L26" s="14">
        <f t="shared" si="0"/>
        <v>11364839.25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7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27">
        <v>0</v>
      </c>
      <c r="H29" s="27">
        <v>0</v>
      </c>
      <c r="I29" s="27">
        <v>1</v>
      </c>
      <c r="J29" s="27">
        <v>0</v>
      </c>
      <c r="K29" s="27">
        <v>0</v>
      </c>
      <c r="L29" s="14">
        <f t="shared" si="0"/>
        <v>3229819.1999999997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7">
        <f t="shared" si="0"/>
        <v>0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27">
        <v>1</v>
      </c>
      <c r="H32" s="27">
        <v>0</v>
      </c>
      <c r="I32" s="27">
        <v>0</v>
      </c>
      <c r="J32" s="27">
        <v>0</v>
      </c>
      <c r="K32" s="27">
        <v>0</v>
      </c>
      <c r="L32" s="14">
        <f t="shared" si="0"/>
        <v>1668472.2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7">
        <f t="shared" si="0"/>
        <v>0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14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7">
        <f t="shared" si="0"/>
        <v>0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14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7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14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7">
        <f t="shared" si="0"/>
        <v>0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14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7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14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7250991.1500000004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11165037.9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5237927.8499999996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5349569.7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14999015.25</v>
      </c>
      <c r="L50" s="30">
        <f>G50+H50+I50+J50+K50</f>
        <v>44002541.849999994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50"/>
  <sheetViews>
    <sheetView zoomScale="90" zoomScaleNormal="90" workbookViewId="0">
      <pane xSplit="6" ySplit="9" topLeftCell="G31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0.5703125" style="16" bestFit="1" customWidth="1"/>
    <col min="8" max="8" width="11.85546875" style="16" bestFit="1" customWidth="1"/>
    <col min="9" max="10" width="10.5703125" style="16" bestFit="1" customWidth="1"/>
    <col min="11" max="12" width="11.85546875" style="16" bestFit="1" customWidth="1"/>
    <col min="13" max="16384" width="8.7109375" style="16"/>
  </cols>
  <sheetData>
    <row r="1" spans="1:12" ht="25.5" customHeight="1" x14ac:dyDescent="0.25">
      <c r="A1" s="78" t="s">
        <v>161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162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7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27">
        <v>1</v>
      </c>
      <c r="H11" s="27">
        <v>2</v>
      </c>
      <c r="I11" s="27">
        <v>0</v>
      </c>
      <c r="J11" s="27">
        <v>0</v>
      </c>
      <c r="K11" s="27">
        <v>0</v>
      </c>
      <c r="L11" s="14">
        <f t="shared" si="0"/>
        <v>16747556.850000001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7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27">
        <v>0</v>
      </c>
      <c r="H14" s="27">
        <v>0</v>
      </c>
      <c r="I14" s="27">
        <v>1</v>
      </c>
      <c r="J14" s="27">
        <v>0</v>
      </c>
      <c r="K14" s="27">
        <v>0</v>
      </c>
      <c r="L14" s="14">
        <f t="shared" si="0"/>
        <v>2008108.65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7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27">
        <v>0</v>
      </c>
      <c r="H17" s="27">
        <v>0</v>
      </c>
      <c r="I17" s="27">
        <v>0</v>
      </c>
      <c r="J17" s="27">
        <v>1</v>
      </c>
      <c r="K17" s="27">
        <v>0</v>
      </c>
      <c r="L17" s="14">
        <f t="shared" si="0"/>
        <v>5349569.7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7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27">
        <v>0</v>
      </c>
      <c r="H20" s="27">
        <v>0</v>
      </c>
      <c r="I20" s="27">
        <v>0</v>
      </c>
      <c r="J20" s="27">
        <v>0</v>
      </c>
      <c r="K20" s="27">
        <v>1</v>
      </c>
      <c r="L20" s="14">
        <f t="shared" si="0"/>
        <v>3634176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7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27">
        <v>0</v>
      </c>
      <c r="H23" s="27">
        <v>0</v>
      </c>
      <c r="I23" s="27">
        <v>1</v>
      </c>
      <c r="J23" s="27">
        <v>0</v>
      </c>
      <c r="K23" s="27">
        <v>0</v>
      </c>
      <c r="L23" s="14">
        <f t="shared" si="0"/>
        <v>3463743.6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7">
        <f t="shared" si="0"/>
        <v>0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27">
        <v>0</v>
      </c>
      <c r="H26" s="27">
        <v>0</v>
      </c>
      <c r="I26" s="27">
        <v>0</v>
      </c>
      <c r="J26" s="27">
        <v>0</v>
      </c>
      <c r="K26" s="27">
        <v>1</v>
      </c>
      <c r="L26" s="14">
        <f t="shared" si="0"/>
        <v>11364839.25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7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27">
        <v>0</v>
      </c>
      <c r="H29" s="27">
        <v>0</v>
      </c>
      <c r="I29" s="27">
        <v>1</v>
      </c>
      <c r="J29" s="27">
        <v>0</v>
      </c>
      <c r="K29" s="27">
        <v>0</v>
      </c>
      <c r="L29" s="14">
        <f t="shared" si="0"/>
        <v>3229819.1999999997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7">
        <f t="shared" si="0"/>
        <v>0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27">
        <v>1</v>
      </c>
      <c r="H32" s="27">
        <v>0</v>
      </c>
      <c r="I32" s="27">
        <v>0</v>
      </c>
      <c r="J32" s="27">
        <v>0</v>
      </c>
      <c r="K32" s="27">
        <v>0</v>
      </c>
      <c r="L32" s="14">
        <f t="shared" si="0"/>
        <v>1668472.2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7">
        <f t="shared" si="0"/>
        <v>0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14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7">
        <f t="shared" si="0"/>
        <v>0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14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7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14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7">
        <f t="shared" si="0"/>
        <v>0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14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7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14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7250991.1500000004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11165037.9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8701671.4499999993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5349569.7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14999015.25</v>
      </c>
      <c r="L50" s="30">
        <f>G50+H50+I50+J50+K50</f>
        <v>47466285.450000003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50"/>
  <sheetViews>
    <sheetView zoomScale="90" zoomScaleNormal="9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0.5703125" style="16" bestFit="1" customWidth="1"/>
    <col min="8" max="8" width="11.85546875" style="16" bestFit="1" customWidth="1"/>
    <col min="9" max="10" width="10.5703125" style="16" bestFit="1" customWidth="1"/>
    <col min="11" max="12" width="11.85546875" style="16" bestFit="1" customWidth="1"/>
    <col min="13" max="16384" width="8.7109375" style="16"/>
  </cols>
  <sheetData>
    <row r="1" spans="1:12" ht="25.5" customHeight="1" x14ac:dyDescent="0.25">
      <c r="A1" s="78" t="s">
        <v>163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164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7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27">
        <v>1</v>
      </c>
      <c r="H11" s="27">
        <v>2</v>
      </c>
      <c r="I11" s="27">
        <v>0</v>
      </c>
      <c r="J11" s="27">
        <v>0</v>
      </c>
      <c r="K11" s="27">
        <v>0</v>
      </c>
      <c r="L11" s="14">
        <f t="shared" si="0"/>
        <v>16747556.850000001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7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27">
        <v>0</v>
      </c>
      <c r="H14" s="27">
        <v>0</v>
      </c>
      <c r="I14" s="27">
        <v>1</v>
      </c>
      <c r="J14" s="27">
        <v>0</v>
      </c>
      <c r="K14" s="27">
        <v>0</v>
      </c>
      <c r="L14" s="14">
        <f t="shared" si="0"/>
        <v>2008108.65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7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27">
        <v>0</v>
      </c>
      <c r="H17" s="27">
        <v>0</v>
      </c>
      <c r="I17" s="27">
        <v>0</v>
      </c>
      <c r="J17" s="27">
        <v>1</v>
      </c>
      <c r="K17" s="27">
        <v>0</v>
      </c>
      <c r="L17" s="14">
        <f t="shared" si="0"/>
        <v>5349569.7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7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27">
        <v>0</v>
      </c>
      <c r="H20" s="27">
        <v>0</v>
      </c>
      <c r="I20" s="27">
        <v>0</v>
      </c>
      <c r="J20" s="27">
        <v>0</v>
      </c>
      <c r="K20" s="27">
        <v>1</v>
      </c>
      <c r="L20" s="14">
        <f t="shared" si="0"/>
        <v>3634176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7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27">
        <v>0</v>
      </c>
      <c r="H23" s="27">
        <v>0</v>
      </c>
      <c r="I23" s="27">
        <v>1</v>
      </c>
      <c r="J23" s="27">
        <v>0</v>
      </c>
      <c r="K23" s="27">
        <v>0</v>
      </c>
      <c r="L23" s="14">
        <f t="shared" si="0"/>
        <v>3463743.6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7">
        <f t="shared" si="0"/>
        <v>0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27">
        <v>0</v>
      </c>
      <c r="H26" s="27">
        <v>0</v>
      </c>
      <c r="I26" s="27">
        <v>0</v>
      </c>
      <c r="J26" s="27">
        <v>0</v>
      </c>
      <c r="K26" s="27">
        <v>1</v>
      </c>
      <c r="L26" s="14">
        <f t="shared" si="0"/>
        <v>11364839.25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7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27">
        <v>0</v>
      </c>
      <c r="H29" s="27">
        <v>0</v>
      </c>
      <c r="I29" s="27">
        <v>1</v>
      </c>
      <c r="J29" s="27">
        <v>0</v>
      </c>
      <c r="K29" s="27">
        <v>0</v>
      </c>
      <c r="L29" s="14">
        <f t="shared" si="0"/>
        <v>3229819.1999999997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7">
        <f t="shared" si="0"/>
        <v>0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27">
        <v>1</v>
      </c>
      <c r="H32" s="27">
        <v>0</v>
      </c>
      <c r="I32" s="27">
        <v>0</v>
      </c>
      <c r="J32" s="27">
        <v>0</v>
      </c>
      <c r="K32" s="27">
        <v>0</v>
      </c>
      <c r="L32" s="14">
        <f t="shared" si="0"/>
        <v>1668472.2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7">
        <f t="shared" si="0"/>
        <v>0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14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7">
        <f t="shared" si="0"/>
        <v>0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14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7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14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7">
        <f t="shared" si="0"/>
        <v>0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14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7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14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7250991.1500000004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11165037.9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8701671.4499999993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5349569.7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14999015.25</v>
      </c>
      <c r="L50" s="30">
        <f>G50+H50+I50+J50+K50</f>
        <v>47466285.450000003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L50"/>
  <sheetViews>
    <sheetView zoomScale="90" zoomScaleNormal="9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7" width="10.5703125" style="16" bestFit="1" customWidth="1"/>
    <col min="8" max="8" width="11.85546875" style="16" bestFit="1" customWidth="1"/>
    <col min="9" max="10" width="10.5703125" style="16" bestFit="1" customWidth="1"/>
    <col min="11" max="12" width="11.85546875" style="16" bestFit="1" customWidth="1"/>
    <col min="13" max="16384" width="8.7109375" style="16"/>
  </cols>
  <sheetData>
    <row r="1" spans="1:12" ht="25.5" customHeight="1" x14ac:dyDescent="0.25">
      <c r="A1" s="78" t="s">
        <v>165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166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7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27">
        <v>1</v>
      </c>
      <c r="H11" s="27">
        <v>2</v>
      </c>
      <c r="I11" s="27">
        <v>0</v>
      </c>
      <c r="J11" s="27">
        <v>0</v>
      </c>
      <c r="K11" s="27">
        <v>0</v>
      </c>
      <c r="L11" s="14">
        <f t="shared" si="0"/>
        <v>16747556.850000001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7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7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27">
        <v>0</v>
      </c>
      <c r="H14" s="27">
        <v>0</v>
      </c>
      <c r="I14" s="27">
        <v>1</v>
      </c>
      <c r="J14" s="27">
        <v>0</v>
      </c>
      <c r="K14" s="27">
        <v>0</v>
      </c>
      <c r="L14" s="14">
        <f t="shared" si="0"/>
        <v>2008108.65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7">
        <f t="shared" si="0"/>
        <v>0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7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27">
        <v>0</v>
      </c>
      <c r="H17" s="27">
        <v>0</v>
      </c>
      <c r="I17" s="27">
        <v>0</v>
      </c>
      <c r="J17" s="27">
        <v>1</v>
      </c>
      <c r="K17" s="27">
        <v>0</v>
      </c>
      <c r="L17" s="14">
        <f t="shared" si="0"/>
        <v>5349569.7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7">
        <f t="shared" si="0"/>
        <v>0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7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27">
        <v>0</v>
      </c>
      <c r="H20" s="27">
        <v>0</v>
      </c>
      <c r="I20" s="27">
        <v>0</v>
      </c>
      <c r="J20" s="27">
        <v>0</v>
      </c>
      <c r="K20" s="27">
        <v>1</v>
      </c>
      <c r="L20" s="14">
        <f t="shared" si="0"/>
        <v>3634176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7">
        <f t="shared" si="0"/>
        <v>0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7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27">
        <v>0</v>
      </c>
      <c r="H23" s="27">
        <v>0</v>
      </c>
      <c r="I23" s="27">
        <v>1</v>
      </c>
      <c r="J23" s="27">
        <v>0</v>
      </c>
      <c r="K23" s="27">
        <v>0</v>
      </c>
      <c r="L23" s="14">
        <f t="shared" si="0"/>
        <v>3463743.6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7">
        <f t="shared" si="0"/>
        <v>0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7">
        <f t="shared" si="0"/>
        <v>0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27">
        <v>0</v>
      </c>
      <c r="H26" s="27">
        <v>0</v>
      </c>
      <c r="I26" s="27">
        <v>0</v>
      </c>
      <c r="J26" s="27">
        <v>0</v>
      </c>
      <c r="K26" s="27">
        <v>1</v>
      </c>
      <c r="L26" s="14">
        <f t="shared" si="0"/>
        <v>11364839.25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7">
        <f t="shared" si="0"/>
        <v>0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7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27">
        <v>0</v>
      </c>
      <c r="H29" s="27">
        <v>0</v>
      </c>
      <c r="I29" s="27">
        <v>1</v>
      </c>
      <c r="J29" s="27">
        <v>0</v>
      </c>
      <c r="K29" s="27">
        <v>0</v>
      </c>
      <c r="L29" s="14">
        <f t="shared" si="0"/>
        <v>3229819.1999999997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7">
        <f t="shared" si="0"/>
        <v>0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7">
        <f t="shared" si="0"/>
        <v>0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27">
        <v>1</v>
      </c>
      <c r="H32" s="27">
        <v>0</v>
      </c>
      <c r="I32" s="27">
        <v>0</v>
      </c>
      <c r="J32" s="27">
        <v>0</v>
      </c>
      <c r="K32" s="27">
        <v>0</v>
      </c>
      <c r="L32" s="14">
        <f t="shared" si="0"/>
        <v>1668472.2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7">
        <f t="shared" si="0"/>
        <v>0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7">
        <f t="shared" si="0"/>
        <v>0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14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7">
        <f t="shared" si="0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7">
        <f t="shared" si="0"/>
        <v>0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14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7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7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14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7">
        <f t="shared" si="0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7">
        <f t="shared" si="0"/>
        <v>0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14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7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7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14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7">
        <f t="shared" si="0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7250991.1500000004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11165037.9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8701671.4499999993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5349569.7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14999015.25</v>
      </c>
      <c r="L50" s="30">
        <f>G50+H50+I50+J50+K50</f>
        <v>47466285.450000003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L50"/>
  <sheetViews>
    <sheetView zoomScale="90" zoomScaleNormal="90" workbookViewId="0">
      <pane xSplit="6" ySplit="9" topLeftCell="G31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9" width="10.5703125" style="16" bestFit="1" customWidth="1"/>
    <col min="10" max="10" width="11.85546875" style="16" bestFit="1" customWidth="1"/>
    <col min="11" max="11" width="10.5703125" style="16" bestFit="1" customWidth="1"/>
    <col min="12" max="12" width="11.85546875" style="16" bestFit="1" customWidth="1"/>
    <col min="13" max="16384" width="8.7109375" style="16"/>
  </cols>
  <sheetData>
    <row r="1" spans="1:12" ht="25.5" customHeight="1" x14ac:dyDescent="0.25">
      <c r="A1" s="78" t="s">
        <v>167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168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7">
        <f t="shared" ref="L10:L12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27">
        <v>1</v>
      </c>
      <c r="H12" s="27">
        <v>0</v>
      </c>
      <c r="I12" s="27">
        <v>0</v>
      </c>
      <c r="J12" s="27">
        <v>0</v>
      </c>
      <c r="K12" s="27">
        <v>0</v>
      </c>
      <c r="L12" s="14">
        <f t="shared" si="0"/>
        <v>5582518.9500000002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7">
        <f t="shared" ref="L13:L48" si="1">IF(ISNUMBER(G13),F13*G13,0)+IF(ISNUMBER(H13),F13*H13,0)+IF(ISNUMBER(I13),F13*I13,0)+IF(ISNUMBER(J13),F13*J13,0)+IF(ISNUMBER(K13),F13*K13,0)</f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1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27">
        <v>0</v>
      </c>
      <c r="H15" s="27">
        <v>1</v>
      </c>
      <c r="I15" s="27">
        <v>0</v>
      </c>
      <c r="J15" s="27">
        <v>0</v>
      </c>
      <c r="K15" s="27">
        <v>0</v>
      </c>
      <c r="L15" s="14">
        <f t="shared" si="1"/>
        <v>2008108.65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7">
        <f t="shared" si="1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1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27">
        <v>0</v>
      </c>
      <c r="H18" s="27">
        <v>0</v>
      </c>
      <c r="I18" s="27">
        <v>1</v>
      </c>
      <c r="J18" s="27">
        <v>0</v>
      </c>
      <c r="K18" s="27">
        <v>0</v>
      </c>
      <c r="L18" s="14">
        <f t="shared" si="1"/>
        <v>5349569.7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7">
        <f t="shared" si="1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1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27">
        <v>0</v>
      </c>
      <c r="H21" s="27">
        <v>0</v>
      </c>
      <c r="I21" s="27">
        <v>0</v>
      </c>
      <c r="J21" s="27">
        <v>1</v>
      </c>
      <c r="K21" s="27">
        <v>0</v>
      </c>
      <c r="L21" s="14">
        <f t="shared" si="1"/>
        <v>3634176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7">
        <f t="shared" si="1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1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27">
        <v>0</v>
      </c>
      <c r="H24" s="27">
        <v>0</v>
      </c>
      <c r="I24" s="27">
        <v>0</v>
      </c>
      <c r="J24" s="27">
        <v>0</v>
      </c>
      <c r="K24" s="27">
        <v>1</v>
      </c>
      <c r="L24" s="14">
        <f t="shared" si="1"/>
        <v>3463743.6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7">
        <f t="shared" si="1"/>
        <v>0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1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27">
        <v>0</v>
      </c>
      <c r="H27" s="27">
        <v>0</v>
      </c>
      <c r="I27" s="27">
        <v>0</v>
      </c>
      <c r="J27" s="27">
        <v>1</v>
      </c>
      <c r="K27" s="27">
        <v>0</v>
      </c>
      <c r="L27" s="14">
        <f t="shared" si="1"/>
        <v>11364839.25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7">
        <f t="shared" si="1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1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27">
        <v>0</v>
      </c>
      <c r="H30" s="27">
        <v>0</v>
      </c>
      <c r="I30" s="27">
        <v>1</v>
      </c>
      <c r="J30" s="27">
        <v>0</v>
      </c>
      <c r="K30" s="27">
        <v>0</v>
      </c>
      <c r="L30" s="14">
        <f t="shared" si="1"/>
        <v>3229819.1999999997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7">
        <f t="shared" si="1"/>
        <v>0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1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27">
        <v>0</v>
      </c>
      <c r="H33" s="27">
        <v>1</v>
      </c>
      <c r="I33" s="27">
        <v>0</v>
      </c>
      <c r="J33" s="27">
        <v>0</v>
      </c>
      <c r="K33" s="27">
        <v>0</v>
      </c>
      <c r="L33" s="14">
        <f t="shared" si="1"/>
        <v>1668472.2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7">
        <f t="shared" si="1"/>
        <v>0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1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14">
        <f t="shared" si="1"/>
        <v>0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7">
        <f t="shared" si="1"/>
        <v>0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1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14">
        <f t="shared" si="1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7">
        <f t="shared" si="1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1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14">
        <f t="shared" si="1"/>
        <v>0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7">
        <f t="shared" si="1"/>
        <v>0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1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14">
        <f t="shared" si="1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7">
        <f t="shared" si="1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1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14">
        <f t="shared" si="1"/>
        <v>0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5582518.9500000002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3676580.8499999996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8579388.9000000004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14999015.25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3463743.6</v>
      </c>
      <c r="L50" s="30">
        <f>G50+H50+I50+J50+K50</f>
        <v>36301247.550000004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50"/>
  <sheetViews>
    <sheetView zoomScale="90" zoomScaleNormal="90" workbookViewId="0">
      <pane xSplit="6" ySplit="9" topLeftCell="G34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9" width="10.5703125" style="16" bestFit="1" customWidth="1"/>
    <col min="10" max="10" width="11.85546875" style="16" bestFit="1" customWidth="1"/>
    <col min="11" max="11" width="10.5703125" style="16" bestFit="1" customWidth="1"/>
    <col min="12" max="12" width="11.85546875" style="16" bestFit="1" customWidth="1"/>
    <col min="13" max="16384" width="8.7109375" style="16"/>
  </cols>
  <sheetData>
    <row r="1" spans="1:12" ht="25.5" customHeight="1" x14ac:dyDescent="0.25">
      <c r="A1" s="78" t="s">
        <v>169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170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7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27">
        <v>1</v>
      </c>
      <c r="H12" s="27">
        <v>0</v>
      </c>
      <c r="I12" s="27">
        <v>0</v>
      </c>
      <c r="J12" s="27">
        <v>0</v>
      </c>
      <c r="K12" s="27">
        <v>0</v>
      </c>
      <c r="L12" s="14">
        <f t="shared" si="0"/>
        <v>5582518.9500000002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7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27">
        <v>1</v>
      </c>
      <c r="H15" s="27">
        <v>1</v>
      </c>
      <c r="I15" s="27">
        <v>0</v>
      </c>
      <c r="J15" s="27">
        <v>0</v>
      </c>
      <c r="K15" s="27">
        <v>0</v>
      </c>
      <c r="L15" s="14">
        <f t="shared" si="0"/>
        <v>4016217.3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7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27">
        <v>0</v>
      </c>
      <c r="H18" s="27">
        <v>0</v>
      </c>
      <c r="I18" s="27">
        <v>1</v>
      </c>
      <c r="J18" s="27">
        <v>0</v>
      </c>
      <c r="K18" s="27">
        <v>0</v>
      </c>
      <c r="L18" s="14">
        <f t="shared" si="0"/>
        <v>5349569.7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7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27">
        <v>0</v>
      </c>
      <c r="H21" s="27">
        <v>0</v>
      </c>
      <c r="I21" s="27">
        <v>1</v>
      </c>
      <c r="J21" s="27">
        <v>1</v>
      </c>
      <c r="K21" s="27">
        <v>0</v>
      </c>
      <c r="L21" s="14">
        <f t="shared" si="0"/>
        <v>7268352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7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27">
        <v>0</v>
      </c>
      <c r="H24" s="27">
        <v>0</v>
      </c>
      <c r="I24" s="27">
        <v>0</v>
      </c>
      <c r="J24" s="27">
        <v>0</v>
      </c>
      <c r="K24" s="27">
        <v>1</v>
      </c>
      <c r="L24" s="14">
        <f t="shared" si="0"/>
        <v>3463743.6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7">
        <f t="shared" si="0"/>
        <v>0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27">
        <v>0</v>
      </c>
      <c r="H27" s="27">
        <v>0</v>
      </c>
      <c r="I27" s="27">
        <v>0</v>
      </c>
      <c r="J27" s="27">
        <v>1</v>
      </c>
      <c r="K27" s="27">
        <v>0</v>
      </c>
      <c r="L27" s="14">
        <f t="shared" si="0"/>
        <v>11364839.25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7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27">
        <v>0</v>
      </c>
      <c r="H30" s="27">
        <v>0</v>
      </c>
      <c r="I30" s="27">
        <v>1</v>
      </c>
      <c r="J30" s="27">
        <v>0</v>
      </c>
      <c r="K30" s="27">
        <v>0</v>
      </c>
      <c r="L30" s="14">
        <f t="shared" si="0"/>
        <v>3229819.1999999997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7">
        <f t="shared" si="0"/>
        <v>0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27">
        <v>0</v>
      </c>
      <c r="H33" s="27">
        <v>1</v>
      </c>
      <c r="I33" s="27">
        <v>0</v>
      </c>
      <c r="J33" s="27">
        <v>0</v>
      </c>
      <c r="K33" s="27">
        <v>0</v>
      </c>
      <c r="L33" s="14">
        <f t="shared" si="0"/>
        <v>1668472.2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7">
        <f t="shared" si="0"/>
        <v>0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27">
        <v>1</v>
      </c>
      <c r="H36" s="27">
        <v>1</v>
      </c>
      <c r="I36" s="27">
        <v>0</v>
      </c>
      <c r="J36" s="27">
        <v>0</v>
      </c>
      <c r="K36" s="27">
        <v>0</v>
      </c>
      <c r="L36" s="14">
        <f t="shared" si="0"/>
        <v>29436547.199999999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7">
        <f t="shared" si="0"/>
        <v>0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14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7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27">
        <v>0</v>
      </c>
      <c r="H42" s="27">
        <v>0</v>
      </c>
      <c r="I42" s="27">
        <v>1</v>
      </c>
      <c r="J42" s="27">
        <v>0</v>
      </c>
      <c r="K42" s="27">
        <v>0</v>
      </c>
      <c r="L42" s="14">
        <f t="shared" si="0"/>
        <v>1673767.2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7">
        <f t="shared" si="0"/>
        <v>0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14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7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27">
        <v>0</v>
      </c>
      <c r="H48" s="27">
        <v>0</v>
      </c>
      <c r="I48" s="27">
        <v>1</v>
      </c>
      <c r="J48" s="27">
        <v>0</v>
      </c>
      <c r="K48" s="27">
        <v>0</v>
      </c>
      <c r="L48" s="14">
        <f t="shared" si="0"/>
        <v>2942722.5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22308901.199999999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18394854.449999999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16830054.599999998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14999015.25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3463743.6</v>
      </c>
      <c r="L50" s="30">
        <f>G50+H50+I50+J50+K50</f>
        <v>75996569.099999994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50"/>
  <sheetViews>
    <sheetView zoomScale="90" zoomScaleNormal="90" workbookViewId="0">
      <pane xSplit="6" ySplit="9" topLeftCell="G31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10" width="11.85546875" style="16" bestFit="1" customWidth="1"/>
    <col min="11" max="11" width="10.5703125" style="16" bestFit="1" customWidth="1"/>
    <col min="12" max="12" width="11.85546875" style="16" bestFit="1" customWidth="1"/>
    <col min="13" max="16384" width="8.7109375" style="16"/>
  </cols>
  <sheetData>
    <row r="1" spans="1:12" ht="25.5" customHeight="1" x14ac:dyDescent="0.25">
      <c r="A1" s="78" t="s">
        <v>171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172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7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27">
        <v>1</v>
      </c>
      <c r="H12" s="27">
        <v>0</v>
      </c>
      <c r="I12" s="27">
        <v>0</v>
      </c>
      <c r="J12" s="27">
        <v>0</v>
      </c>
      <c r="K12" s="27">
        <v>0</v>
      </c>
      <c r="L12" s="14">
        <f t="shared" si="0"/>
        <v>5582518.9500000002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7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27">
        <v>1</v>
      </c>
      <c r="H15" s="27">
        <v>1</v>
      </c>
      <c r="I15" s="27">
        <v>0</v>
      </c>
      <c r="J15" s="27">
        <v>0</v>
      </c>
      <c r="K15" s="27">
        <v>0</v>
      </c>
      <c r="L15" s="14">
        <f t="shared" si="0"/>
        <v>4016217.3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7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27">
        <v>0</v>
      </c>
      <c r="H18" s="27">
        <v>0</v>
      </c>
      <c r="I18" s="27">
        <v>1</v>
      </c>
      <c r="J18" s="27">
        <v>0</v>
      </c>
      <c r="K18" s="27">
        <v>0</v>
      </c>
      <c r="L18" s="14">
        <f t="shared" si="0"/>
        <v>5349569.7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7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27">
        <v>0</v>
      </c>
      <c r="H21" s="27">
        <v>0</v>
      </c>
      <c r="I21" s="27">
        <v>1</v>
      </c>
      <c r="J21" s="27">
        <v>1</v>
      </c>
      <c r="K21" s="27">
        <v>0</v>
      </c>
      <c r="L21" s="14">
        <f t="shared" si="0"/>
        <v>7268352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7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27">
        <v>0</v>
      </c>
      <c r="H24" s="27">
        <v>0</v>
      </c>
      <c r="I24" s="27">
        <v>0</v>
      </c>
      <c r="J24" s="27">
        <v>0</v>
      </c>
      <c r="K24" s="27">
        <v>1</v>
      </c>
      <c r="L24" s="14">
        <f t="shared" si="0"/>
        <v>3463743.6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7">
        <f t="shared" si="0"/>
        <v>0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27">
        <v>0</v>
      </c>
      <c r="H27" s="27">
        <v>0</v>
      </c>
      <c r="I27" s="27">
        <v>0</v>
      </c>
      <c r="J27" s="27">
        <v>1</v>
      </c>
      <c r="K27" s="27">
        <v>0</v>
      </c>
      <c r="L27" s="14">
        <f t="shared" si="0"/>
        <v>11364839.25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7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27">
        <v>0</v>
      </c>
      <c r="H30" s="27">
        <v>0</v>
      </c>
      <c r="I30" s="27">
        <v>1</v>
      </c>
      <c r="J30" s="27">
        <v>0</v>
      </c>
      <c r="K30" s="27">
        <v>0</v>
      </c>
      <c r="L30" s="14">
        <f t="shared" si="0"/>
        <v>3229819.1999999997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7">
        <f t="shared" si="0"/>
        <v>0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27">
        <v>0</v>
      </c>
      <c r="H33" s="27">
        <v>1</v>
      </c>
      <c r="I33" s="27">
        <v>0</v>
      </c>
      <c r="J33" s="27">
        <v>0</v>
      </c>
      <c r="K33" s="27">
        <v>0</v>
      </c>
      <c r="L33" s="14">
        <f t="shared" si="0"/>
        <v>1668472.2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7">
        <f t="shared" si="0"/>
        <v>0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27">
        <v>1</v>
      </c>
      <c r="H36" s="27">
        <v>1</v>
      </c>
      <c r="I36" s="27">
        <v>0</v>
      </c>
      <c r="J36" s="27">
        <v>0</v>
      </c>
      <c r="K36" s="27">
        <v>0</v>
      </c>
      <c r="L36" s="14">
        <f t="shared" si="0"/>
        <v>29436547.199999999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7">
        <f t="shared" si="0"/>
        <v>0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14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7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27">
        <v>0</v>
      </c>
      <c r="H42" s="27">
        <v>0</v>
      </c>
      <c r="I42" s="27">
        <v>1</v>
      </c>
      <c r="J42" s="27">
        <v>0</v>
      </c>
      <c r="K42" s="27">
        <v>0</v>
      </c>
      <c r="L42" s="14">
        <f t="shared" si="0"/>
        <v>1673767.2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7">
        <f t="shared" si="0"/>
        <v>0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14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7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27">
        <v>0</v>
      </c>
      <c r="H48" s="27">
        <v>0</v>
      </c>
      <c r="I48" s="27">
        <v>1</v>
      </c>
      <c r="J48" s="27">
        <v>0</v>
      </c>
      <c r="K48" s="27">
        <v>0</v>
      </c>
      <c r="L48" s="14">
        <f t="shared" si="0"/>
        <v>2942722.5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22308901.199999999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18394854.449999999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16830054.599999998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14999015.25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3463743.6</v>
      </c>
      <c r="L50" s="30">
        <f>G50+H50+I50+J50+K50</f>
        <v>75996569.099999994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L50"/>
  <sheetViews>
    <sheetView zoomScale="90" zoomScaleNormal="9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9.85546875" style="16" bestFit="1" customWidth="1"/>
    <col min="2" max="2" width="14.140625" style="16" bestFit="1" customWidth="1"/>
    <col min="3" max="3" width="10.5703125" style="16" bestFit="1" customWidth="1"/>
    <col min="4" max="4" width="16.5703125" style="16" bestFit="1" customWidth="1"/>
    <col min="5" max="5" width="5.42578125" style="16" bestFit="1" customWidth="1"/>
    <col min="6" max="6" width="12.7109375" style="16" bestFit="1" customWidth="1"/>
    <col min="7" max="10" width="11.85546875" style="16" bestFit="1" customWidth="1"/>
    <col min="11" max="11" width="10.5703125" style="16" bestFit="1" customWidth="1"/>
    <col min="12" max="12" width="11.85546875" style="16" bestFit="1" customWidth="1"/>
    <col min="13" max="16384" width="8.7109375" style="16"/>
  </cols>
  <sheetData>
    <row r="1" spans="1:12" ht="25.5" customHeight="1" x14ac:dyDescent="0.25">
      <c r="A1" s="78" t="s">
        <v>173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174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7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27">
        <v>1</v>
      </c>
      <c r="H12" s="27">
        <v>0</v>
      </c>
      <c r="I12" s="27">
        <v>0</v>
      </c>
      <c r="J12" s="27">
        <v>0</v>
      </c>
      <c r="K12" s="27">
        <v>0</v>
      </c>
      <c r="L12" s="14">
        <f t="shared" si="0"/>
        <v>5582518.9500000002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7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27">
        <v>1</v>
      </c>
      <c r="H15" s="27">
        <v>1</v>
      </c>
      <c r="I15" s="27">
        <v>0</v>
      </c>
      <c r="J15" s="27">
        <v>0</v>
      </c>
      <c r="K15" s="27">
        <v>0</v>
      </c>
      <c r="L15" s="14">
        <f t="shared" si="0"/>
        <v>4016217.3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7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27">
        <v>0</v>
      </c>
      <c r="H18" s="27">
        <v>0</v>
      </c>
      <c r="I18" s="27">
        <v>1</v>
      </c>
      <c r="J18" s="27">
        <v>0</v>
      </c>
      <c r="K18" s="27">
        <v>0</v>
      </c>
      <c r="L18" s="14">
        <f t="shared" si="0"/>
        <v>5349569.7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7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27">
        <v>0</v>
      </c>
      <c r="H21" s="27">
        <v>0</v>
      </c>
      <c r="I21" s="27">
        <v>1</v>
      </c>
      <c r="J21" s="27">
        <v>1</v>
      </c>
      <c r="K21" s="27">
        <v>0</v>
      </c>
      <c r="L21" s="14">
        <f t="shared" si="0"/>
        <v>7268352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7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27">
        <v>0</v>
      </c>
      <c r="H24" s="27">
        <v>0</v>
      </c>
      <c r="I24" s="27">
        <v>0</v>
      </c>
      <c r="J24" s="27">
        <v>0</v>
      </c>
      <c r="K24" s="27">
        <v>1</v>
      </c>
      <c r="L24" s="14">
        <f t="shared" si="0"/>
        <v>3463743.6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7">
        <f t="shared" si="0"/>
        <v>0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27">
        <v>0</v>
      </c>
      <c r="H27" s="27">
        <v>0</v>
      </c>
      <c r="I27" s="27">
        <v>0</v>
      </c>
      <c r="J27" s="27">
        <v>1</v>
      </c>
      <c r="K27" s="27">
        <v>0</v>
      </c>
      <c r="L27" s="14">
        <f t="shared" si="0"/>
        <v>11364839.25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7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27">
        <v>0</v>
      </c>
      <c r="H30" s="27">
        <v>0</v>
      </c>
      <c r="I30" s="27">
        <v>1</v>
      </c>
      <c r="J30" s="27">
        <v>0</v>
      </c>
      <c r="K30" s="27">
        <v>0</v>
      </c>
      <c r="L30" s="14">
        <f t="shared" si="0"/>
        <v>3229819.1999999997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7">
        <f t="shared" si="0"/>
        <v>0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27">
        <v>0</v>
      </c>
      <c r="H33" s="27">
        <v>1</v>
      </c>
      <c r="I33" s="27">
        <v>0</v>
      </c>
      <c r="J33" s="27">
        <v>0</v>
      </c>
      <c r="K33" s="27">
        <v>0</v>
      </c>
      <c r="L33" s="14">
        <f t="shared" si="0"/>
        <v>1668472.2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7">
        <f t="shared" si="0"/>
        <v>0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27">
        <v>1</v>
      </c>
      <c r="H36" s="27">
        <v>1</v>
      </c>
      <c r="I36" s="27">
        <v>0</v>
      </c>
      <c r="J36" s="27">
        <v>0</v>
      </c>
      <c r="K36" s="27">
        <v>0</v>
      </c>
      <c r="L36" s="14">
        <f t="shared" si="0"/>
        <v>29436547.199999999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7">
        <f t="shared" si="0"/>
        <v>0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14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7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27">
        <v>0</v>
      </c>
      <c r="H42" s="27">
        <v>0</v>
      </c>
      <c r="I42" s="27">
        <v>1</v>
      </c>
      <c r="J42" s="27">
        <v>0</v>
      </c>
      <c r="K42" s="27">
        <v>0</v>
      </c>
      <c r="L42" s="14">
        <f t="shared" si="0"/>
        <v>1673767.2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7">
        <f t="shared" si="0"/>
        <v>0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14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7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27">
        <v>0</v>
      </c>
      <c r="H48" s="27">
        <v>0</v>
      </c>
      <c r="I48" s="27">
        <v>1</v>
      </c>
      <c r="J48" s="27">
        <v>0</v>
      </c>
      <c r="K48" s="27">
        <v>0</v>
      </c>
      <c r="L48" s="14">
        <f t="shared" si="0"/>
        <v>2942722.5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22308901.199999999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18394854.449999999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16830054.599999998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14999015.25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3463743.6</v>
      </c>
      <c r="L50" s="30">
        <f>G50+H50+I50+J50+K50</f>
        <v>75996569.099999994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L50"/>
  <sheetViews>
    <sheetView zoomScale="90" zoomScaleNormal="9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10" width="11.85546875" style="16" bestFit="1" customWidth="1"/>
    <col min="11" max="11" width="10.5703125" style="16" bestFit="1" customWidth="1"/>
    <col min="12" max="12" width="11.85546875" style="16" bestFit="1" customWidth="1"/>
    <col min="13" max="16384" width="8.7109375" style="16"/>
  </cols>
  <sheetData>
    <row r="1" spans="1:12" ht="25.5" customHeight="1" x14ac:dyDescent="0.25">
      <c r="A1" s="78" t="s">
        <v>175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176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7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27">
        <v>1</v>
      </c>
      <c r="H12" s="27">
        <v>0</v>
      </c>
      <c r="I12" s="27">
        <v>0</v>
      </c>
      <c r="J12" s="27">
        <v>0</v>
      </c>
      <c r="K12" s="27">
        <v>0</v>
      </c>
      <c r="L12" s="14">
        <f t="shared" si="0"/>
        <v>5582518.9500000002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7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27">
        <v>1</v>
      </c>
      <c r="H15" s="27">
        <v>1</v>
      </c>
      <c r="I15" s="27">
        <v>0</v>
      </c>
      <c r="J15" s="27">
        <v>0</v>
      </c>
      <c r="K15" s="27">
        <v>0</v>
      </c>
      <c r="L15" s="14">
        <f t="shared" si="0"/>
        <v>4016217.3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7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27">
        <v>0</v>
      </c>
      <c r="H18" s="27">
        <v>0</v>
      </c>
      <c r="I18" s="27">
        <v>1</v>
      </c>
      <c r="J18" s="27">
        <v>0</v>
      </c>
      <c r="K18" s="27">
        <v>0</v>
      </c>
      <c r="L18" s="14">
        <f t="shared" si="0"/>
        <v>5349569.7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7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27">
        <v>0</v>
      </c>
      <c r="H21" s="27">
        <v>0</v>
      </c>
      <c r="I21" s="27">
        <v>1</v>
      </c>
      <c r="J21" s="27">
        <v>1</v>
      </c>
      <c r="K21" s="27">
        <v>0</v>
      </c>
      <c r="L21" s="14">
        <f t="shared" si="0"/>
        <v>7268352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7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27">
        <v>0</v>
      </c>
      <c r="H24" s="27">
        <v>0</v>
      </c>
      <c r="I24" s="27">
        <v>0</v>
      </c>
      <c r="J24" s="27">
        <v>0</v>
      </c>
      <c r="K24" s="27">
        <v>1</v>
      </c>
      <c r="L24" s="14">
        <f t="shared" si="0"/>
        <v>3463743.6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7">
        <f t="shared" si="0"/>
        <v>0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27">
        <v>0</v>
      </c>
      <c r="H27" s="27">
        <v>0</v>
      </c>
      <c r="I27" s="27">
        <v>0</v>
      </c>
      <c r="J27" s="27">
        <v>1</v>
      </c>
      <c r="K27" s="27">
        <v>0</v>
      </c>
      <c r="L27" s="14">
        <f t="shared" si="0"/>
        <v>11364839.25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7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27">
        <v>0</v>
      </c>
      <c r="H30" s="27">
        <v>0</v>
      </c>
      <c r="I30" s="27">
        <v>1</v>
      </c>
      <c r="J30" s="27">
        <v>0</v>
      </c>
      <c r="K30" s="27">
        <v>0</v>
      </c>
      <c r="L30" s="14">
        <f t="shared" si="0"/>
        <v>3229819.1999999997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7">
        <f t="shared" si="0"/>
        <v>0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27">
        <v>0</v>
      </c>
      <c r="H33" s="27">
        <v>1</v>
      </c>
      <c r="I33" s="27">
        <v>0</v>
      </c>
      <c r="J33" s="27">
        <v>0</v>
      </c>
      <c r="K33" s="27">
        <v>0</v>
      </c>
      <c r="L33" s="14">
        <f t="shared" si="0"/>
        <v>1668472.2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7">
        <f t="shared" si="0"/>
        <v>0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27">
        <v>1</v>
      </c>
      <c r="H36" s="27">
        <v>1</v>
      </c>
      <c r="I36" s="27">
        <v>0</v>
      </c>
      <c r="J36" s="27">
        <v>0</v>
      </c>
      <c r="K36" s="27">
        <v>0</v>
      </c>
      <c r="L36" s="14">
        <f t="shared" si="0"/>
        <v>29436547.199999999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7">
        <f t="shared" si="0"/>
        <v>0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14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7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27">
        <v>0</v>
      </c>
      <c r="H42" s="27">
        <v>0</v>
      </c>
      <c r="I42" s="27">
        <v>1</v>
      </c>
      <c r="J42" s="27">
        <v>0</v>
      </c>
      <c r="K42" s="27">
        <v>0</v>
      </c>
      <c r="L42" s="14">
        <f t="shared" si="0"/>
        <v>1673767.2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7">
        <f t="shared" si="0"/>
        <v>0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14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7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27">
        <v>0</v>
      </c>
      <c r="H48" s="27">
        <v>0</v>
      </c>
      <c r="I48" s="27">
        <v>1</v>
      </c>
      <c r="J48" s="27">
        <v>0</v>
      </c>
      <c r="K48" s="27">
        <v>0</v>
      </c>
      <c r="L48" s="14">
        <f t="shared" si="0"/>
        <v>2942722.5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22308901.199999999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18394854.449999999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16830054.599999998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14999015.25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3463743.6</v>
      </c>
      <c r="L50" s="30">
        <f>G50+H50+I50+J50+K50</f>
        <v>75996569.099999994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L50"/>
  <sheetViews>
    <sheetView zoomScale="90" zoomScaleNormal="9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10" width="11.85546875" style="16" bestFit="1" customWidth="1"/>
    <col min="11" max="11" width="10.5703125" style="16" bestFit="1" customWidth="1"/>
    <col min="12" max="12" width="11.85546875" style="16" bestFit="1" customWidth="1"/>
    <col min="13" max="16384" width="8.7109375" style="16"/>
  </cols>
  <sheetData>
    <row r="1" spans="1:12" ht="25.5" customHeight="1" x14ac:dyDescent="0.25">
      <c r="A1" s="78" t="s">
        <v>177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178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7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27">
        <v>1</v>
      </c>
      <c r="H12" s="27">
        <v>0</v>
      </c>
      <c r="I12" s="27">
        <v>0</v>
      </c>
      <c r="J12" s="27">
        <v>0</v>
      </c>
      <c r="K12" s="27">
        <v>0</v>
      </c>
      <c r="L12" s="14">
        <f t="shared" si="0"/>
        <v>5582518.9500000002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7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27">
        <v>1</v>
      </c>
      <c r="H15" s="27">
        <v>1</v>
      </c>
      <c r="I15" s="27">
        <v>0</v>
      </c>
      <c r="J15" s="27">
        <v>0</v>
      </c>
      <c r="K15" s="27">
        <v>0</v>
      </c>
      <c r="L15" s="14">
        <f t="shared" si="0"/>
        <v>4016217.3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7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27">
        <v>0</v>
      </c>
      <c r="H18" s="27">
        <v>0</v>
      </c>
      <c r="I18" s="27">
        <v>1</v>
      </c>
      <c r="J18" s="27">
        <v>0</v>
      </c>
      <c r="K18" s="27">
        <v>0</v>
      </c>
      <c r="L18" s="14">
        <f t="shared" si="0"/>
        <v>5349569.7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7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27">
        <v>0</v>
      </c>
      <c r="H21" s="27">
        <v>0</v>
      </c>
      <c r="I21" s="27">
        <v>1</v>
      </c>
      <c r="J21" s="27">
        <v>1</v>
      </c>
      <c r="K21" s="27">
        <v>0</v>
      </c>
      <c r="L21" s="14">
        <f t="shared" si="0"/>
        <v>7268352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7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27">
        <v>0</v>
      </c>
      <c r="H24" s="27">
        <v>0</v>
      </c>
      <c r="I24" s="27">
        <v>0</v>
      </c>
      <c r="J24" s="27">
        <v>0</v>
      </c>
      <c r="K24" s="27">
        <v>1</v>
      </c>
      <c r="L24" s="14">
        <f t="shared" si="0"/>
        <v>3463743.6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7">
        <f t="shared" si="0"/>
        <v>0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27">
        <v>0</v>
      </c>
      <c r="H27" s="27">
        <v>0</v>
      </c>
      <c r="I27" s="27">
        <v>0</v>
      </c>
      <c r="J27" s="27">
        <v>1</v>
      </c>
      <c r="K27" s="27">
        <v>0</v>
      </c>
      <c r="L27" s="14">
        <f t="shared" si="0"/>
        <v>11364839.25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7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27">
        <v>0</v>
      </c>
      <c r="H30" s="27">
        <v>0</v>
      </c>
      <c r="I30" s="27">
        <v>1</v>
      </c>
      <c r="J30" s="27">
        <v>0</v>
      </c>
      <c r="K30" s="27">
        <v>0</v>
      </c>
      <c r="L30" s="14">
        <f t="shared" si="0"/>
        <v>3229819.1999999997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7">
        <f t="shared" si="0"/>
        <v>0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27">
        <v>0</v>
      </c>
      <c r="H33" s="27">
        <v>1</v>
      </c>
      <c r="I33" s="27">
        <v>0</v>
      </c>
      <c r="J33" s="27">
        <v>0</v>
      </c>
      <c r="K33" s="27">
        <v>0</v>
      </c>
      <c r="L33" s="14">
        <f t="shared" si="0"/>
        <v>1668472.2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7">
        <f t="shared" si="0"/>
        <v>0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27">
        <v>1</v>
      </c>
      <c r="H36" s="27">
        <v>1</v>
      </c>
      <c r="I36" s="27">
        <v>0</v>
      </c>
      <c r="J36" s="27">
        <v>0</v>
      </c>
      <c r="K36" s="27">
        <v>0</v>
      </c>
      <c r="L36" s="14">
        <f t="shared" si="0"/>
        <v>29436547.199999999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7">
        <f t="shared" si="0"/>
        <v>0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14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7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27">
        <v>0</v>
      </c>
      <c r="H42" s="27">
        <v>0</v>
      </c>
      <c r="I42" s="27">
        <v>1</v>
      </c>
      <c r="J42" s="27">
        <v>0</v>
      </c>
      <c r="K42" s="27">
        <v>0</v>
      </c>
      <c r="L42" s="14">
        <f t="shared" si="0"/>
        <v>1673767.2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7">
        <f t="shared" si="0"/>
        <v>0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14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7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27">
        <v>0</v>
      </c>
      <c r="H48" s="27">
        <v>0</v>
      </c>
      <c r="I48" s="27">
        <v>1</v>
      </c>
      <c r="J48" s="27">
        <v>0</v>
      </c>
      <c r="K48" s="27">
        <v>0</v>
      </c>
      <c r="L48" s="14">
        <f t="shared" si="0"/>
        <v>2942722.5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22308901.199999999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18394854.449999999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16830054.599999998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14999015.25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3463743.6</v>
      </c>
      <c r="L50" s="30">
        <f>G50+H50+I50+J50+K50</f>
        <v>75996569.099999994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L50"/>
  <sheetViews>
    <sheetView zoomScale="90" zoomScaleNormal="9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L8" sqref="L8"/>
    </sheetView>
  </sheetViews>
  <sheetFormatPr defaultColWidth="8.7109375" defaultRowHeight="13.5" x14ac:dyDescent="0.25"/>
  <cols>
    <col min="1" max="1" width="10.140625" style="16" bestFit="1" customWidth="1"/>
    <col min="2" max="2" width="14.5703125" style="16" bestFit="1" customWidth="1"/>
    <col min="3" max="3" width="11.7109375" style="16" bestFit="1" customWidth="1"/>
    <col min="4" max="4" width="17" style="16" bestFit="1" customWidth="1"/>
    <col min="5" max="5" width="5.7109375" style="16" bestFit="1" customWidth="1"/>
    <col min="6" max="6" width="12.85546875" style="16" bestFit="1" customWidth="1"/>
    <col min="7" max="10" width="11.85546875" style="16" bestFit="1" customWidth="1"/>
    <col min="11" max="11" width="10.5703125" style="16" bestFit="1" customWidth="1"/>
    <col min="12" max="12" width="11.85546875" style="16" bestFit="1" customWidth="1"/>
    <col min="13" max="16384" width="8.7109375" style="16"/>
  </cols>
  <sheetData>
    <row r="1" spans="1:12" ht="25.5" customHeight="1" x14ac:dyDescent="0.25">
      <c r="A1" s="78" t="s">
        <v>179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x14ac:dyDescent="0.25">
      <c r="A2" s="79" t="s">
        <v>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4" spans="1:12" x14ac:dyDescent="0.25">
      <c r="A4" s="19" t="s">
        <v>17</v>
      </c>
      <c r="B4" s="89" t="s">
        <v>180</v>
      </c>
      <c r="C4" s="89"/>
      <c r="D4" s="89"/>
      <c r="E4" s="89"/>
      <c r="F4" s="89"/>
    </row>
    <row r="5" spans="1:12" x14ac:dyDescent="0.25">
      <c r="A5" s="19" t="s">
        <v>624</v>
      </c>
      <c r="B5" s="90">
        <v>3</v>
      </c>
      <c r="C5" s="90"/>
      <c r="D5" s="91" t="s">
        <v>72</v>
      </c>
      <c r="E5" s="91"/>
      <c r="F5" s="91"/>
      <c r="G5" s="91"/>
      <c r="H5" s="91"/>
      <c r="I5" s="91"/>
      <c r="J5" s="91"/>
      <c r="K5" s="91"/>
      <c r="L5" s="91"/>
    </row>
    <row r="6" spans="1:12" x14ac:dyDescent="0.25">
      <c r="A6" s="19" t="s">
        <v>625</v>
      </c>
      <c r="B6" s="92" t="s">
        <v>34</v>
      </c>
      <c r="C6" s="92"/>
      <c r="D6" s="92"/>
      <c r="E6" s="92"/>
      <c r="F6" s="92"/>
      <c r="G6" s="18" t="s">
        <v>622</v>
      </c>
      <c r="H6" s="18" t="s">
        <v>623</v>
      </c>
      <c r="I6" s="18" t="s">
        <v>196</v>
      </c>
      <c r="J6" s="18" t="s">
        <v>197</v>
      </c>
      <c r="K6" s="18" t="s">
        <v>198</v>
      </c>
      <c r="L6" s="6" t="s">
        <v>35</v>
      </c>
    </row>
    <row r="8" spans="1:12" ht="31.5" customHeight="1" x14ac:dyDescent="0.25">
      <c r="A8" s="20" t="s">
        <v>16</v>
      </c>
      <c r="B8" s="20" t="s">
        <v>31</v>
      </c>
      <c r="C8" s="20" t="s">
        <v>78</v>
      </c>
      <c r="D8" s="20" t="s">
        <v>36</v>
      </c>
      <c r="E8" s="20" t="s">
        <v>37</v>
      </c>
      <c r="F8" s="20" t="s">
        <v>79</v>
      </c>
      <c r="G8" s="25" t="str">
        <f>G6</f>
        <v>수요기업1</v>
      </c>
      <c r="H8" s="25" t="str">
        <f>H6</f>
        <v>수요기업2</v>
      </c>
      <c r="I8" s="25" t="str">
        <f>I6</f>
        <v>수요기업3</v>
      </c>
      <c r="J8" s="25" t="str">
        <f>J6</f>
        <v>수요기업4</v>
      </c>
      <c r="K8" s="25" t="str">
        <f>K6</f>
        <v>수요기업5</v>
      </c>
      <c r="L8" s="20" t="s">
        <v>628</v>
      </c>
    </row>
    <row r="10" spans="1:12" ht="18" customHeight="1" x14ac:dyDescent="0.25">
      <c r="A10" s="81">
        <v>1</v>
      </c>
      <c r="B10" s="82" t="s">
        <v>19</v>
      </c>
      <c r="C10" s="93">
        <v>37216793</v>
      </c>
      <c r="D10" s="26" t="s">
        <v>80</v>
      </c>
      <c r="E10" s="10">
        <v>0.7</v>
      </c>
      <c r="F10" s="9">
        <f>C10*E10</f>
        <v>26051755.099999998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7">
        <f t="shared" ref="L10:L48" si="0">IF(ISNUMBER(G10),F10*G10,0)+IF(ISNUMBER(H10),F10*H10,0)+IF(ISNUMBER(I10),F10*I10,0)+IF(ISNUMBER(J10),F10*J10,0)+IF(ISNUMBER(K10),F10*K10,0)</f>
        <v>0</v>
      </c>
    </row>
    <row r="11" spans="1:12" ht="18" customHeight="1" x14ac:dyDescent="0.25">
      <c r="A11" s="81"/>
      <c r="B11" s="81"/>
      <c r="C11" s="81"/>
      <c r="D11" s="28" t="s">
        <v>38</v>
      </c>
      <c r="E11" s="10">
        <v>0.15</v>
      </c>
      <c r="F11" s="9">
        <f>C10*E11</f>
        <v>5582518.9500000002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7">
        <f t="shared" si="0"/>
        <v>0</v>
      </c>
    </row>
    <row r="12" spans="1:12" ht="18" customHeight="1" x14ac:dyDescent="0.25">
      <c r="A12" s="81"/>
      <c r="B12" s="81"/>
      <c r="C12" s="81"/>
      <c r="D12" s="29" t="s">
        <v>81</v>
      </c>
      <c r="E12" s="10">
        <v>0.15</v>
      </c>
      <c r="F12" s="9">
        <f>C10*E12</f>
        <v>5582518.9500000002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14">
        <f t="shared" si="0"/>
        <v>0</v>
      </c>
    </row>
    <row r="13" spans="1:12" ht="18" customHeight="1" x14ac:dyDescent="0.25">
      <c r="A13" s="83">
        <v>2</v>
      </c>
      <c r="B13" s="84" t="s">
        <v>20</v>
      </c>
      <c r="C13" s="94">
        <v>13387391</v>
      </c>
      <c r="D13" s="26" t="s">
        <v>80</v>
      </c>
      <c r="E13" s="13">
        <v>0.7</v>
      </c>
      <c r="F13" s="12">
        <f>C13*E13</f>
        <v>9371173.6999999993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7">
        <f t="shared" si="0"/>
        <v>0</v>
      </c>
    </row>
    <row r="14" spans="1:12" ht="18" customHeight="1" x14ac:dyDescent="0.25">
      <c r="A14" s="83"/>
      <c r="B14" s="83"/>
      <c r="C14" s="83"/>
      <c r="D14" s="28" t="s">
        <v>38</v>
      </c>
      <c r="E14" s="13">
        <v>0.15</v>
      </c>
      <c r="F14" s="12">
        <f>C13*E14</f>
        <v>2008108.65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7">
        <f t="shared" si="0"/>
        <v>0</v>
      </c>
    </row>
    <row r="15" spans="1:12" ht="18" customHeight="1" x14ac:dyDescent="0.25">
      <c r="A15" s="83"/>
      <c r="B15" s="83"/>
      <c r="C15" s="83"/>
      <c r="D15" s="29" t="s">
        <v>81</v>
      </c>
      <c r="E15" s="13">
        <v>0.15</v>
      </c>
      <c r="F15" s="12">
        <f>C13*E15</f>
        <v>2008108.65</v>
      </c>
      <c r="G15" s="27">
        <v>1</v>
      </c>
      <c r="H15" s="27">
        <v>0</v>
      </c>
      <c r="I15" s="27">
        <v>0</v>
      </c>
      <c r="J15" s="27">
        <v>0</v>
      </c>
      <c r="K15" s="27">
        <v>0</v>
      </c>
      <c r="L15" s="14">
        <f>IF(ISNUMBER(G15),F15*G15,0)+IF(ISNUMBER(H15),F15*H15,0)+IF(ISNUMBER(I15),F15*I15,0)+IF(ISNUMBER(J15),F15*J15,0)+IF(ISNUMBER(K15),F15*K15,0)</f>
        <v>2008108.65</v>
      </c>
    </row>
    <row r="16" spans="1:12" ht="18" customHeight="1" x14ac:dyDescent="0.25">
      <c r="A16" s="81">
        <v>3</v>
      </c>
      <c r="B16" s="82" t="s">
        <v>59</v>
      </c>
      <c r="C16" s="93">
        <v>35663798</v>
      </c>
      <c r="D16" s="26" t="s">
        <v>80</v>
      </c>
      <c r="E16" s="10">
        <v>0.7</v>
      </c>
      <c r="F16" s="9">
        <f>C16*E16</f>
        <v>24964658.599999998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7">
        <f t="shared" si="0"/>
        <v>0</v>
      </c>
    </row>
    <row r="17" spans="1:12" ht="18" customHeight="1" x14ac:dyDescent="0.25">
      <c r="A17" s="81"/>
      <c r="B17" s="81"/>
      <c r="C17" s="81"/>
      <c r="D17" s="28" t="s">
        <v>38</v>
      </c>
      <c r="E17" s="10">
        <v>0.15</v>
      </c>
      <c r="F17" s="9">
        <f>C16*E17</f>
        <v>5349569.7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7">
        <f t="shared" si="0"/>
        <v>0</v>
      </c>
    </row>
    <row r="18" spans="1:12" ht="18" customHeight="1" x14ac:dyDescent="0.25">
      <c r="A18" s="81"/>
      <c r="B18" s="81"/>
      <c r="C18" s="81"/>
      <c r="D18" s="29" t="s">
        <v>81</v>
      </c>
      <c r="E18" s="10">
        <v>0.15</v>
      </c>
      <c r="F18" s="9">
        <f>C16*E18</f>
        <v>5349569.7</v>
      </c>
      <c r="G18" s="27">
        <v>0</v>
      </c>
      <c r="H18" s="27">
        <v>0</v>
      </c>
      <c r="I18" s="27">
        <v>1</v>
      </c>
      <c r="J18" s="27">
        <v>0</v>
      </c>
      <c r="K18" s="27">
        <v>0</v>
      </c>
      <c r="L18" s="14">
        <f t="shared" si="0"/>
        <v>5349569.7</v>
      </c>
    </row>
    <row r="19" spans="1:12" ht="18" customHeight="1" x14ac:dyDescent="0.25">
      <c r="A19" s="83">
        <v>4</v>
      </c>
      <c r="B19" s="84" t="s">
        <v>21</v>
      </c>
      <c r="C19" s="94">
        <v>24227840</v>
      </c>
      <c r="D19" s="26" t="s">
        <v>80</v>
      </c>
      <c r="E19" s="13">
        <v>0.7</v>
      </c>
      <c r="F19" s="12">
        <f>C19*E19</f>
        <v>16959488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7">
        <f t="shared" si="0"/>
        <v>0</v>
      </c>
    </row>
    <row r="20" spans="1:12" ht="18" customHeight="1" x14ac:dyDescent="0.25">
      <c r="A20" s="83"/>
      <c r="B20" s="83"/>
      <c r="C20" s="83"/>
      <c r="D20" s="28" t="s">
        <v>38</v>
      </c>
      <c r="E20" s="13">
        <v>0.15</v>
      </c>
      <c r="F20" s="12">
        <f>C19*E20</f>
        <v>3634176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7">
        <f t="shared" si="0"/>
        <v>0</v>
      </c>
    </row>
    <row r="21" spans="1:12" ht="18" customHeight="1" x14ac:dyDescent="0.25">
      <c r="A21" s="83"/>
      <c r="B21" s="83"/>
      <c r="C21" s="83"/>
      <c r="D21" s="29" t="s">
        <v>81</v>
      </c>
      <c r="E21" s="13">
        <v>0.15</v>
      </c>
      <c r="F21" s="12">
        <f>C19*E21</f>
        <v>3634176</v>
      </c>
      <c r="G21" s="27">
        <v>0</v>
      </c>
      <c r="H21" s="27">
        <v>0</v>
      </c>
      <c r="I21" s="27">
        <v>0</v>
      </c>
      <c r="J21" s="27">
        <v>1</v>
      </c>
      <c r="K21" s="27">
        <v>0</v>
      </c>
      <c r="L21" s="14">
        <f t="shared" si="0"/>
        <v>3634176</v>
      </c>
    </row>
    <row r="22" spans="1:12" ht="18" customHeight="1" x14ac:dyDescent="0.25">
      <c r="A22" s="81">
        <v>5</v>
      </c>
      <c r="B22" s="82" t="s">
        <v>22</v>
      </c>
      <c r="C22" s="93">
        <v>23091624</v>
      </c>
      <c r="D22" s="26" t="s">
        <v>80</v>
      </c>
      <c r="E22" s="10">
        <v>0.7</v>
      </c>
      <c r="F22" s="9">
        <f>C22*E22</f>
        <v>16164136.799999999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7">
        <f t="shared" si="0"/>
        <v>0</v>
      </c>
    </row>
    <row r="23" spans="1:12" ht="18" customHeight="1" x14ac:dyDescent="0.25">
      <c r="A23" s="81"/>
      <c r="B23" s="81"/>
      <c r="C23" s="81"/>
      <c r="D23" s="28" t="s">
        <v>38</v>
      </c>
      <c r="E23" s="10">
        <v>0.15</v>
      </c>
      <c r="F23" s="9">
        <f>C22*E23</f>
        <v>3463743.6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7">
        <f t="shared" si="0"/>
        <v>0</v>
      </c>
    </row>
    <row r="24" spans="1:12" ht="18" customHeight="1" x14ac:dyDescent="0.25">
      <c r="A24" s="81"/>
      <c r="B24" s="81"/>
      <c r="C24" s="81"/>
      <c r="D24" s="29" t="s">
        <v>81</v>
      </c>
      <c r="E24" s="10">
        <v>0.15</v>
      </c>
      <c r="F24" s="9">
        <f>C22*E24</f>
        <v>3463743.6</v>
      </c>
      <c r="G24" s="27">
        <v>0</v>
      </c>
      <c r="H24" s="27">
        <v>0</v>
      </c>
      <c r="I24" s="27">
        <v>0</v>
      </c>
      <c r="J24" s="27">
        <v>0</v>
      </c>
      <c r="K24" s="27">
        <v>1</v>
      </c>
      <c r="L24" s="14">
        <f t="shared" si="0"/>
        <v>3463743.6</v>
      </c>
    </row>
    <row r="25" spans="1:12" ht="18" customHeight="1" x14ac:dyDescent="0.25">
      <c r="A25" s="83">
        <v>6</v>
      </c>
      <c r="B25" s="84" t="s">
        <v>23</v>
      </c>
      <c r="C25" s="94">
        <v>75765595</v>
      </c>
      <c r="D25" s="26" t="s">
        <v>80</v>
      </c>
      <c r="E25" s="13">
        <v>0.7</v>
      </c>
      <c r="F25" s="12">
        <f>C25*E25</f>
        <v>53035916.5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7">
        <f t="shared" si="0"/>
        <v>0</v>
      </c>
    </row>
    <row r="26" spans="1:12" ht="18" customHeight="1" x14ac:dyDescent="0.25">
      <c r="A26" s="83"/>
      <c r="B26" s="83"/>
      <c r="C26" s="83"/>
      <c r="D26" s="28" t="s">
        <v>38</v>
      </c>
      <c r="E26" s="13">
        <v>0.15</v>
      </c>
      <c r="F26" s="12">
        <f>C25*E26</f>
        <v>11364839.25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7">
        <f t="shared" si="0"/>
        <v>0</v>
      </c>
    </row>
    <row r="27" spans="1:12" ht="18" customHeight="1" x14ac:dyDescent="0.25">
      <c r="A27" s="83"/>
      <c r="B27" s="83"/>
      <c r="C27" s="83"/>
      <c r="D27" s="29" t="s">
        <v>81</v>
      </c>
      <c r="E27" s="13">
        <v>0.15</v>
      </c>
      <c r="F27" s="12">
        <f>C25*E27</f>
        <v>11364839.25</v>
      </c>
      <c r="G27" s="27">
        <v>0</v>
      </c>
      <c r="H27" s="27">
        <v>0</v>
      </c>
      <c r="I27" s="27">
        <v>0</v>
      </c>
      <c r="J27" s="27">
        <v>1</v>
      </c>
      <c r="K27" s="27">
        <v>0</v>
      </c>
      <c r="L27" s="14">
        <f t="shared" si="0"/>
        <v>11364839.25</v>
      </c>
    </row>
    <row r="28" spans="1:12" ht="18" customHeight="1" x14ac:dyDescent="0.25">
      <c r="A28" s="81">
        <v>7</v>
      </c>
      <c r="B28" s="82" t="s">
        <v>24</v>
      </c>
      <c r="C28" s="93">
        <v>21532128</v>
      </c>
      <c r="D28" s="26" t="s">
        <v>80</v>
      </c>
      <c r="E28" s="10">
        <v>0.7</v>
      </c>
      <c r="F28" s="9">
        <f>C28*E28</f>
        <v>15072489.6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7">
        <f t="shared" si="0"/>
        <v>0</v>
      </c>
    </row>
    <row r="29" spans="1:12" ht="18" customHeight="1" x14ac:dyDescent="0.25">
      <c r="A29" s="81"/>
      <c r="B29" s="81"/>
      <c r="C29" s="81"/>
      <c r="D29" s="28" t="s">
        <v>38</v>
      </c>
      <c r="E29" s="10">
        <v>0.15</v>
      </c>
      <c r="F29" s="9">
        <f>C28*E29</f>
        <v>3229819.1999999997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7">
        <f t="shared" si="0"/>
        <v>0</v>
      </c>
    </row>
    <row r="30" spans="1:12" ht="18" customHeight="1" x14ac:dyDescent="0.25">
      <c r="A30" s="81"/>
      <c r="B30" s="81"/>
      <c r="C30" s="81"/>
      <c r="D30" s="29" t="s">
        <v>81</v>
      </c>
      <c r="E30" s="10">
        <v>0.15</v>
      </c>
      <c r="F30" s="9">
        <f>C28*E30</f>
        <v>3229819.1999999997</v>
      </c>
      <c r="G30" s="27">
        <v>0</v>
      </c>
      <c r="H30" s="27">
        <v>0</v>
      </c>
      <c r="I30" s="27">
        <v>1</v>
      </c>
      <c r="J30" s="27">
        <v>0</v>
      </c>
      <c r="K30" s="27">
        <v>0</v>
      </c>
      <c r="L30" s="14">
        <f t="shared" si="0"/>
        <v>3229819.1999999997</v>
      </c>
    </row>
    <row r="31" spans="1:12" ht="18" customHeight="1" x14ac:dyDescent="0.25">
      <c r="A31" s="83">
        <v>8</v>
      </c>
      <c r="B31" s="84" t="s">
        <v>60</v>
      </c>
      <c r="C31" s="94">
        <v>11123148</v>
      </c>
      <c r="D31" s="26" t="s">
        <v>80</v>
      </c>
      <c r="E31" s="13">
        <v>0.7</v>
      </c>
      <c r="F31" s="12">
        <f>C31*E31</f>
        <v>7786203.5999999996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7">
        <f t="shared" si="0"/>
        <v>0</v>
      </c>
    </row>
    <row r="32" spans="1:12" ht="18" customHeight="1" x14ac:dyDescent="0.25">
      <c r="A32" s="83"/>
      <c r="B32" s="83"/>
      <c r="C32" s="83"/>
      <c r="D32" s="28" t="s">
        <v>38</v>
      </c>
      <c r="E32" s="13">
        <v>0.15</v>
      </c>
      <c r="F32" s="12">
        <f>C31*E32</f>
        <v>1668472.2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7">
        <f t="shared" si="0"/>
        <v>0</v>
      </c>
    </row>
    <row r="33" spans="1:12" ht="18" customHeight="1" x14ac:dyDescent="0.25">
      <c r="A33" s="83"/>
      <c r="B33" s="83"/>
      <c r="C33" s="83"/>
      <c r="D33" s="29" t="s">
        <v>81</v>
      </c>
      <c r="E33" s="13">
        <v>0.15</v>
      </c>
      <c r="F33" s="12">
        <f>C31*E33</f>
        <v>1668472.2</v>
      </c>
      <c r="G33" s="27">
        <v>0</v>
      </c>
      <c r="H33" s="27">
        <v>1</v>
      </c>
      <c r="I33" s="27">
        <v>0</v>
      </c>
      <c r="J33" s="27">
        <v>0</v>
      </c>
      <c r="K33" s="27">
        <v>0</v>
      </c>
      <c r="L33" s="14">
        <f t="shared" si="0"/>
        <v>1668472.2</v>
      </c>
    </row>
    <row r="34" spans="1:12" ht="18" customHeight="1" x14ac:dyDescent="0.25">
      <c r="A34" s="81">
        <v>9</v>
      </c>
      <c r="B34" s="82" t="s">
        <v>61</v>
      </c>
      <c r="C34" s="93">
        <v>98121824</v>
      </c>
      <c r="D34" s="26" t="s">
        <v>80</v>
      </c>
      <c r="E34" s="10">
        <v>0.7</v>
      </c>
      <c r="F34" s="9">
        <f>C34*E34</f>
        <v>68685276.799999997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7">
        <f t="shared" si="0"/>
        <v>0</v>
      </c>
    </row>
    <row r="35" spans="1:12" ht="18" customHeight="1" x14ac:dyDescent="0.25">
      <c r="A35" s="81"/>
      <c r="B35" s="81"/>
      <c r="C35" s="81"/>
      <c r="D35" s="28" t="s">
        <v>38</v>
      </c>
      <c r="E35" s="10">
        <v>0.15</v>
      </c>
      <c r="F35" s="9">
        <f>C34*E35</f>
        <v>14718273.6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7">
        <f t="shared" si="0"/>
        <v>0</v>
      </c>
    </row>
    <row r="36" spans="1:12" ht="18" customHeight="1" x14ac:dyDescent="0.25">
      <c r="A36" s="81"/>
      <c r="B36" s="81"/>
      <c r="C36" s="81"/>
      <c r="D36" s="29" t="s">
        <v>81</v>
      </c>
      <c r="E36" s="10">
        <v>0.15</v>
      </c>
      <c r="F36" s="9">
        <f>C34*E36</f>
        <v>14718273.6</v>
      </c>
      <c r="G36" s="27">
        <v>1</v>
      </c>
      <c r="H36" s="27">
        <v>1</v>
      </c>
      <c r="I36" s="27">
        <v>0</v>
      </c>
      <c r="J36" s="27">
        <v>0</v>
      </c>
      <c r="K36" s="27">
        <v>0</v>
      </c>
      <c r="L36" s="14">
        <f t="shared" si="0"/>
        <v>29436547.199999999</v>
      </c>
    </row>
    <row r="37" spans="1:12" ht="18" customHeight="1" x14ac:dyDescent="0.25">
      <c r="A37" s="83">
        <v>10</v>
      </c>
      <c r="B37" s="84" t="s">
        <v>25</v>
      </c>
      <c r="C37" s="94">
        <v>25437247</v>
      </c>
      <c r="D37" s="26" t="s">
        <v>80</v>
      </c>
      <c r="E37" s="13">
        <v>0.7</v>
      </c>
      <c r="F37" s="12">
        <f>C37*E37</f>
        <v>17806072.899999999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7">
        <f t="shared" si="0"/>
        <v>0</v>
      </c>
    </row>
    <row r="38" spans="1:12" ht="18" customHeight="1" x14ac:dyDescent="0.25">
      <c r="A38" s="83"/>
      <c r="B38" s="83"/>
      <c r="C38" s="83"/>
      <c r="D38" s="28" t="s">
        <v>38</v>
      </c>
      <c r="E38" s="13">
        <v>0.15</v>
      </c>
      <c r="F38" s="12">
        <f>C37*E38</f>
        <v>3815587.05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7">
        <f t="shared" si="0"/>
        <v>0</v>
      </c>
    </row>
    <row r="39" spans="1:12" ht="18" customHeight="1" x14ac:dyDescent="0.25">
      <c r="A39" s="83"/>
      <c r="B39" s="83"/>
      <c r="C39" s="83"/>
      <c r="D39" s="29" t="s">
        <v>81</v>
      </c>
      <c r="E39" s="13">
        <v>0.15</v>
      </c>
      <c r="F39" s="12">
        <f>C37*E39</f>
        <v>3815587.05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14">
        <f t="shared" si="0"/>
        <v>0</v>
      </c>
    </row>
    <row r="40" spans="1:12" ht="18" customHeight="1" x14ac:dyDescent="0.25">
      <c r="A40" s="81">
        <v>11</v>
      </c>
      <c r="B40" s="82" t="s">
        <v>26</v>
      </c>
      <c r="C40" s="93">
        <v>11158448</v>
      </c>
      <c r="D40" s="26" t="s">
        <v>80</v>
      </c>
      <c r="E40" s="10">
        <v>0.7</v>
      </c>
      <c r="F40" s="9">
        <f>C40*E40</f>
        <v>7810913.5999999996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7">
        <f t="shared" si="0"/>
        <v>0</v>
      </c>
    </row>
    <row r="41" spans="1:12" ht="18" customHeight="1" x14ac:dyDescent="0.25">
      <c r="A41" s="81"/>
      <c r="B41" s="81"/>
      <c r="C41" s="81"/>
      <c r="D41" s="28" t="s">
        <v>38</v>
      </c>
      <c r="E41" s="10">
        <v>0.15</v>
      </c>
      <c r="F41" s="9">
        <f>C40*E41</f>
        <v>1673767.2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f t="shared" si="0"/>
        <v>0</v>
      </c>
    </row>
    <row r="42" spans="1:12" ht="18" customHeight="1" x14ac:dyDescent="0.25">
      <c r="A42" s="81"/>
      <c r="B42" s="81"/>
      <c r="C42" s="81"/>
      <c r="D42" s="29" t="s">
        <v>81</v>
      </c>
      <c r="E42" s="10">
        <v>0.15</v>
      </c>
      <c r="F42" s="9">
        <f>C40*E42</f>
        <v>1673767.2</v>
      </c>
      <c r="G42" s="27">
        <v>0</v>
      </c>
      <c r="H42" s="27">
        <v>0</v>
      </c>
      <c r="I42" s="27">
        <v>1</v>
      </c>
      <c r="J42" s="27">
        <v>0</v>
      </c>
      <c r="K42" s="27">
        <v>0</v>
      </c>
      <c r="L42" s="14">
        <f t="shared" si="0"/>
        <v>1673767.2</v>
      </c>
    </row>
    <row r="43" spans="1:12" ht="18" customHeight="1" x14ac:dyDescent="0.25">
      <c r="A43" s="83">
        <v>12</v>
      </c>
      <c r="B43" s="84" t="s">
        <v>27</v>
      </c>
      <c r="C43" s="94">
        <v>61427885</v>
      </c>
      <c r="D43" s="26" t="s">
        <v>80</v>
      </c>
      <c r="E43" s="13">
        <v>0.7</v>
      </c>
      <c r="F43" s="12">
        <f>C43*E43</f>
        <v>42999519.5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7">
        <f t="shared" si="0"/>
        <v>0</v>
      </c>
    </row>
    <row r="44" spans="1:12" ht="18" customHeight="1" x14ac:dyDescent="0.25">
      <c r="A44" s="83"/>
      <c r="B44" s="83"/>
      <c r="C44" s="83"/>
      <c r="D44" s="28" t="s">
        <v>38</v>
      </c>
      <c r="E44" s="13">
        <v>0.15</v>
      </c>
      <c r="F44" s="12">
        <f>C43*E44</f>
        <v>9214182.75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7">
        <f t="shared" si="0"/>
        <v>0</v>
      </c>
    </row>
    <row r="45" spans="1:12" ht="18" customHeight="1" x14ac:dyDescent="0.25">
      <c r="A45" s="83"/>
      <c r="B45" s="83"/>
      <c r="C45" s="83"/>
      <c r="D45" s="29" t="s">
        <v>81</v>
      </c>
      <c r="E45" s="13">
        <v>0.15</v>
      </c>
      <c r="F45" s="12">
        <f>C43*E45</f>
        <v>9214182.75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14">
        <f t="shared" si="0"/>
        <v>0</v>
      </c>
    </row>
    <row r="46" spans="1:12" ht="18" customHeight="1" x14ac:dyDescent="0.25">
      <c r="A46" s="81">
        <v>13</v>
      </c>
      <c r="B46" s="82" t="s">
        <v>28</v>
      </c>
      <c r="C46" s="93">
        <v>19618150</v>
      </c>
      <c r="D46" s="26" t="s">
        <v>80</v>
      </c>
      <c r="E46" s="10">
        <v>0.7</v>
      </c>
      <c r="F46" s="9">
        <f>C46*E46</f>
        <v>13732705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7">
        <f t="shared" si="0"/>
        <v>0</v>
      </c>
    </row>
    <row r="47" spans="1:12" ht="18" customHeight="1" x14ac:dyDescent="0.25">
      <c r="A47" s="81"/>
      <c r="B47" s="81"/>
      <c r="C47" s="81"/>
      <c r="D47" s="28" t="s">
        <v>38</v>
      </c>
      <c r="E47" s="10">
        <v>0.15</v>
      </c>
      <c r="F47" s="9">
        <f>C46*E47</f>
        <v>2942722.5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7">
        <f t="shared" si="0"/>
        <v>0</v>
      </c>
    </row>
    <row r="48" spans="1:12" ht="18" customHeight="1" x14ac:dyDescent="0.25">
      <c r="A48" s="85"/>
      <c r="B48" s="85"/>
      <c r="C48" s="85"/>
      <c r="D48" s="29" t="s">
        <v>81</v>
      </c>
      <c r="E48" s="10">
        <v>0.15</v>
      </c>
      <c r="F48" s="9">
        <f>C46*E48</f>
        <v>2942722.5</v>
      </c>
      <c r="G48" s="27">
        <v>0</v>
      </c>
      <c r="H48" s="27">
        <v>0</v>
      </c>
      <c r="I48" s="27">
        <v>1</v>
      </c>
      <c r="J48" s="27">
        <v>0</v>
      </c>
      <c r="K48" s="27">
        <v>0</v>
      </c>
      <c r="L48" s="14">
        <f t="shared" si="0"/>
        <v>2942722.5</v>
      </c>
    </row>
    <row r="50" spans="1:12" ht="21.75" customHeight="1" x14ac:dyDescent="0.25">
      <c r="A50" s="78" t="s">
        <v>82</v>
      </c>
      <c r="B50" s="78"/>
      <c r="C50" s="78"/>
      <c r="D50" s="78"/>
      <c r="E50" s="78"/>
      <c r="G50" s="7">
        <f>IF(ISNUMBER(G10),F10*G10,0)+IF(ISNUMBER(G11),F11*G11,0)+IF(ISNUMBER(G12),F12*G12,0)+IF(ISNUMBER(G13),F13*G13,0)+IF(ISNUMBER(G14),F14*G14,0)+IF(ISNUMBER(G15),F15*G15,0)+IF(ISNUMBER(G16),F16*G16,0)+IF(ISNUMBER(G17),F17*G17,0)+IF(ISNUMBER(G18),F18*G18,0)+IF(ISNUMBER(G19),F19*G19,0)+IF(ISNUMBER(G20),F20*G20,0)+IF(ISNUMBER(G21),F21*G21,0)+IF(ISNUMBER(G22),F22*G22,0)+IF(ISNUMBER(G23),F23*G23,0)+IF(ISNUMBER(G24),F24*G24,0)+IF(ISNUMBER(G25),F25*G25,0)+IF(ISNUMBER(G26),F26*G26,0)+IF(ISNUMBER(G27),F27*G27,0)+IF(ISNUMBER(G28),F28*G28,0)+IF(ISNUMBER(G29),F29*G29,0)+IF(ISNUMBER(G30),F30*G30,0)+IF(ISNUMBER(G31),F31*G31,0)+IF(ISNUMBER(G32),F32*G32,0)+IF(ISNUMBER(G33),F33*G33,0)+IF(ISNUMBER(G34),F34*G34,0)+IF(ISNUMBER(G35),F35*G35,0)+IF(ISNUMBER(G36),F36*G36,0)+IF(ISNUMBER(G37),F37*G37,0)+IF(ISNUMBER(G38),F38*G38,0)+IF(ISNUMBER(G39),F39*G39,0)+IF(ISNUMBER(G40),F40*G40,0)+IF(ISNUMBER(G41),F41*G41,0)+IF(ISNUMBER(G42),F42*G42,0)+IF(ISNUMBER(G43),F43*G43,0)+IF(ISNUMBER(G44),F44*G44,0)+IF(ISNUMBER(G45),F45*G45,0)+IF(ISNUMBER(G46),F46*G46,0)+IF(ISNUMBER(G47),F47*G47,0)+IF(ISNUMBER(G48),F48*G48,0)</f>
        <v>16726382.25</v>
      </c>
      <c r="H50" s="7">
        <f>IF(ISNUMBER(H10),F10*H10,0)+IF(ISNUMBER(H11),F11*H11,0)+IF(ISNUMBER(H12),F12*H12,0)+IF(ISNUMBER(H13),F13*H13,0)+IF(ISNUMBER(H14),F14*H14,0)+IF(ISNUMBER(H15),F15*H15,0)+IF(ISNUMBER(H16),F16*H16,0)+IF(ISNUMBER(H17),F17*H17,0)+IF(ISNUMBER(H18),F18*H18,0)+IF(ISNUMBER(H19),F19*H19,0)+IF(ISNUMBER(H20),F20*H20,0)+IF(ISNUMBER(H21),F21*H21,0)+IF(ISNUMBER(H22),F22*H22,0)+IF(ISNUMBER(H23),F23*H23,0)+IF(ISNUMBER(H24),F24*H24,0)+IF(ISNUMBER(H25),F25*H25,0)+IF(ISNUMBER(H26),F26*H26,0)+IF(ISNUMBER(H27),F27*H27,0)+IF(ISNUMBER(H28),F28*H28,0)+IF(ISNUMBER(H29),F29*H29,0)+IF(ISNUMBER(H30),F30*H30,0)+IF(ISNUMBER(H31),F31*H31,0)+IF(ISNUMBER(H32),F32*H32,0)+IF(ISNUMBER(H33),F33*H33,0)+IF(ISNUMBER(H34),F34*H34,0)+IF(ISNUMBER(H35),F35*H35,0)+IF(ISNUMBER(H36),F36*H36,0)+IF(ISNUMBER(H37),F37*H37,0)+IF(ISNUMBER(H38),F38*H38,0)+IF(ISNUMBER(H39),F39*H39,0)+IF(ISNUMBER(H40),F40*H40,0)+IF(ISNUMBER(H41),F41*H41,0)+IF(ISNUMBER(H42),F42*H42,0)+IF(ISNUMBER(H43),F43*H43,0)+IF(ISNUMBER(H44),F44*H44,0)+IF(ISNUMBER(H45),F45*H45,0)+IF(ISNUMBER(H46),F46*H46,0)+IF(ISNUMBER(H47),F47*H47,0)+IF(ISNUMBER(H48),F48*H48,0)</f>
        <v>16386745.799999999</v>
      </c>
      <c r="I50" s="7">
        <f>IF(ISNUMBER(I10),F10*I10,0)+IF(ISNUMBER(I11),F11*I11,0)+IF(ISNUMBER(I12),F12*I12,0)+IF(ISNUMBER(I13),F13*I13,0)+IF(ISNUMBER(I14),F14*I14,0)+IF(ISNUMBER(I15),F15*I15,0)+IF(ISNUMBER(I16),F16*I16,0)+IF(ISNUMBER(I17),F17*I17,0)+IF(ISNUMBER(I18),F18*I18,0)+IF(ISNUMBER(I19),F19*I19,0)+IF(ISNUMBER(I20),F20*I20,0)+IF(ISNUMBER(I21),F21*I21,0)+IF(ISNUMBER(I22),F22*I22,0)+IF(ISNUMBER(I23),F23*I23,0)+IF(ISNUMBER(I24),F24*I24,0)+IF(ISNUMBER(I25),F25*I25,0)+IF(ISNUMBER(I26),F26*I26,0)+IF(ISNUMBER(I27),F27*I27,0)+IF(ISNUMBER(I28),F28*I28,0)+IF(ISNUMBER(I29),F29*I29,0)+IF(ISNUMBER(I30),F30*I30,0)+IF(ISNUMBER(I31),F31*I31,0)+IF(ISNUMBER(I32),F32*I32,0)+IF(ISNUMBER(I33),F33*I33,0)+IF(ISNUMBER(I34),F34*I34,0)+IF(ISNUMBER(I35),F35*I35,0)+IF(ISNUMBER(I36),F36*I36,0)+IF(ISNUMBER(I37),F37*I37,0)+IF(ISNUMBER(I38),F38*I38,0)+IF(ISNUMBER(I39),F39*I39,0)+IF(ISNUMBER(I40),F40*I40,0)+IF(ISNUMBER(I41),F41*I41,0)+IF(ISNUMBER(I42),F42*I42,0)+IF(ISNUMBER(I43),F43*I43,0)+IF(ISNUMBER(I44),F44*I44,0)+IF(ISNUMBER(I45),F45*I45,0)+IF(ISNUMBER(I46),F46*I46,0)+IF(ISNUMBER(I47),F47*I47,0)+IF(ISNUMBER(I48),F48*I48,0)</f>
        <v>13195878.6</v>
      </c>
      <c r="J50" s="7">
        <f>IF(ISNUMBER(J10),F10*J10,0)+IF(ISNUMBER(J11),F11*J11,0)+IF(ISNUMBER(J12),F12*J12,0)+IF(ISNUMBER(J13),F13*J13,0)+IF(ISNUMBER(J14),F14*J14,0)+IF(ISNUMBER(J15),F15*J15,0)+IF(ISNUMBER(J16),F16*J16,0)+IF(ISNUMBER(J17),F17*J17,0)+IF(ISNUMBER(J18),F18*J18,0)+IF(ISNUMBER(J19),F19*J19,0)+IF(ISNUMBER(J20),F20*J20,0)+IF(ISNUMBER(J21),F21*J21,0)+IF(ISNUMBER(J22),F22*J22,0)+IF(ISNUMBER(J23),F23*J23,0)+IF(ISNUMBER(J24),F24*J24,0)+IF(ISNUMBER(J25),F25*J25,0)+IF(ISNUMBER(J26),F26*J26,0)+IF(ISNUMBER(J27),F27*J27,0)+IF(ISNUMBER(J28),F28*J28,0)+IF(ISNUMBER(J29),F29*J29,0)+IF(ISNUMBER(J30),F30*J30,0)+IF(ISNUMBER(J31),F31*J31,0)+IF(ISNUMBER(J32),F32*J32,0)+IF(ISNUMBER(J33),F33*J33,0)+IF(ISNUMBER(J34),F34*J34,0)+IF(ISNUMBER(J35),F35*J35,0)+IF(ISNUMBER(J36),F36*J36,0)+IF(ISNUMBER(J37),F37*J37,0)+IF(ISNUMBER(J38),F38*J38,0)+IF(ISNUMBER(J39),F39*J39,0)+IF(ISNUMBER(J40),F40*J40,0)+IF(ISNUMBER(J41),F41*J41,0)+IF(ISNUMBER(J42),F42*J42,0)+IF(ISNUMBER(J43),F43*J43,0)+IF(ISNUMBER(J44),F44*J44,0)+IF(ISNUMBER(J45),F45*J45,0)+IF(ISNUMBER(J46),F46*J46,0)+IF(ISNUMBER(J47),F47*J47,0)+IF(ISNUMBER(J48),F48*J48,0)</f>
        <v>14999015.25</v>
      </c>
      <c r="K50" s="7">
        <f>IF(ISNUMBER(K10),F10*K10,0)+IF(ISNUMBER(K11),F11*K11,0)+IF(ISNUMBER(K12),F12*K12,0)+IF(ISNUMBER(K13),F13*K13,0)+IF(ISNUMBER(K14),F14*K14,0)+IF(ISNUMBER(K15),F15*K15,0)+IF(ISNUMBER(K16),F16*K16,0)+IF(ISNUMBER(K17),F17*K17,0)+IF(ISNUMBER(K18),F18*K18,0)+IF(ISNUMBER(K19),F19*K19,0)+IF(ISNUMBER(K20),F20*K20,0)+IF(ISNUMBER(K21),F21*K21,0)+IF(ISNUMBER(K22),F22*K22,0)+IF(ISNUMBER(K23),F23*K23,0)+IF(ISNUMBER(K24),F24*K24,0)+IF(ISNUMBER(K25),F25*K25,0)+IF(ISNUMBER(K26),F26*K26,0)+IF(ISNUMBER(K27),F27*K27,0)+IF(ISNUMBER(K28),F28*K28,0)+IF(ISNUMBER(K29),F29*K29,0)+IF(ISNUMBER(K30),F30*K30,0)+IF(ISNUMBER(K31),F31*K31,0)+IF(ISNUMBER(K32),F32*K32,0)+IF(ISNUMBER(K33),F33*K33,0)+IF(ISNUMBER(K34),F34*K34,0)+IF(ISNUMBER(K35),F35*K35,0)+IF(ISNUMBER(K36),F36*K36,0)+IF(ISNUMBER(K37),F37*K37,0)+IF(ISNUMBER(K38),F38*K38,0)+IF(ISNUMBER(K39),F39*K39,0)+IF(ISNUMBER(K40),F40*K40,0)+IF(ISNUMBER(K41),F41*K41,0)+IF(ISNUMBER(K42),F42*K42,0)+IF(ISNUMBER(K43),F43*K43,0)+IF(ISNUMBER(K44),F44*K44,0)+IF(ISNUMBER(K45),F45*K45,0)+IF(ISNUMBER(K46),F46*K46,0)+IF(ISNUMBER(K47),F47*K47,0)+IF(ISNUMBER(K48),F48*K48,0)</f>
        <v>3463743.6</v>
      </c>
      <c r="L50" s="30">
        <f>G50+H50+I50+J50+K50</f>
        <v>64771765.5</v>
      </c>
    </row>
  </sheetData>
  <mergeCells count="46">
    <mergeCell ref="A46:A48"/>
    <mergeCell ref="B46:B48"/>
    <mergeCell ref="C46:C48"/>
    <mergeCell ref="A50:E50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2:A24"/>
    <mergeCell ref="B22:B24"/>
    <mergeCell ref="C22:C24"/>
    <mergeCell ref="A25:A27"/>
    <mergeCell ref="B25:B27"/>
    <mergeCell ref="C25:C27"/>
    <mergeCell ref="A16:A18"/>
    <mergeCell ref="B16:B18"/>
    <mergeCell ref="C16:C18"/>
    <mergeCell ref="A19:A21"/>
    <mergeCell ref="B19:B21"/>
    <mergeCell ref="C19:C21"/>
    <mergeCell ref="B6:F6"/>
    <mergeCell ref="A10:A12"/>
    <mergeCell ref="B10:B12"/>
    <mergeCell ref="C10:C12"/>
    <mergeCell ref="A13:A15"/>
    <mergeCell ref="B13:B15"/>
    <mergeCell ref="C13:C15"/>
    <mergeCell ref="A1:L1"/>
    <mergeCell ref="A2:L2"/>
    <mergeCell ref="B4:F4"/>
    <mergeCell ref="B5:C5"/>
    <mergeCell ref="D5:L5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54</vt:i4>
      </vt:variant>
    </vt:vector>
  </HeadingPairs>
  <TitlesOfParts>
    <vt:vector size="54" baseType="lpstr">
      <vt:lpstr>사용안내</vt:lpstr>
      <vt:lpstr>공급+수요기업</vt:lpstr>
      <vt:lpstr>전체통합집계</vt:lpstr>
      <vt:lpstr>기준데이터</vt:lpstr>
      <vt:lpstr>기업01</vt:lpstr>
      <vt:lpstr>기업02</vt:lpstr>
      <vt:lpstr>기업03</vt:lpstr>
      <vt:lpstr>기업04</vt:lpstr>
      <vt:lpstr>기업05</vt:lpstr>
      <vt:lpstr>기업06</vt:lpstr>
      <vt:lpstr>기업07</vt:lpstr>
      <vt:lpstr>기업08</vt:lpstr>
      <vt:lpstr>기업09</vt:lpstr>
      <vt:lpstr>기업10</vt:lpstr>
      <vt:lpstr>기업11</vt:lpstr>
      <vt:lpstr>기업12</vt:lpstr>
      <vt:lpstr>기업13</vt:lpstr>
      <vt:lpstr>기업14</vt:lpstr>
      <vt:lpstr>기업15</vt:lpstr>
      <vt:lpstr>기업16</vt:lpstr>
      <vt:lpstr>기업17</vt:lpstr>
      <vt:lpstr>기업18</vt:lpstr>
      <vt:lpstr>기업19</vt:lpstr>
      <vt:lpstr>기업20</vt:lpstr>
      <vt:lpstr>기업21</vt:lpstr>
      <vt:lpstr>기업22</vt:lpstr>
      <vt:lpstr>기업23</vt:lpstr>
      <vt:lpstr>기업24</vt:lpstr>
      <vt:lpstr>기업25</vt:lpstr>
      <vt:lpstr>기업26</vt:lpstr>
      <vt:lpstr>기업27</vt:lpstr>
      <vt:lpstr>기업28</vt:lpstr>
      <vt:lpstr>기업29</vt:lpstr>
      <vt:lpstr>기업30</vt:lpstr>
      <vt:lpstr>기업31</vt:lpstr>
      <vt:lpstr>기업32</vt:lpstr>
      <vt:lpstr>기업33</vt:lpstr>
      <vt:lpstr>기업34</vt:lpstr>
      <vt:lpstr>기업35</vt:lpstr>
      <vt:lpstr>기업36</vt:lpstr>
      <vt:lpstr>기업37</vt:lpstr>
      <vt:lpstr>기업38</vt:lpstr>
      <vt:lpstr>기업39</vt:lpstr>
      <vt:lpstr>기업40</vt:lpstr>
      <vt:lpstr>기업41</vt:lpstr>
      <vt:lpstr>기업42</vt:lpstr>
      <vt:lpstr>기업43</vt:lpstr>
      <vt:lpstr>기업44</vt:lpstr>
      <vt:lpstr>기업45</vt:lpstr>
      <vt:lpstr>기업46</vt:lpstr>
      <vt:lpstr>기업47</vt:lpstr>
      <vt:lpstr>기업48</vt:lpstr>
      <vt:lpstr>기업49</vt:lpstr>
      <vt:lpstr>기업50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minseok.kim2</cp:lastModifiedBy>
  <cp:revision>0</cp:revision>
  <dcterms:created xsi:type="dcterms:W3CDTF">2026-04-16T05:20:57Z</dcterms:created>
  <dcterms:modified xsi:type="dcterms:W3CDTF">2026-04-17T07:05:59Z</dcterms:modified>
  <dc:language>en-US</dc:language>
</cp:coreProperties>
</file>